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apeitinitiative-my.sharepoint.com/personal/betty_morudu_capaciti_org_za/Documents/"/>
    </mc:Choice>
  </mc:AlternateContent>
  <xr:revisionPtr revIDLastSave="420" documentId="8_{86F7301E-6A73-49B4-A8FE-D0CAA38FDDE3}" xr6:coauthVersionLast="47" xr6:coauthVersionMax="47" xr10:uidLastSave="{C251EB6E-90DC-4979-9861-A71766776A97}"/>
  <bookViews>
    <workbookView xWindow="-120" yWindow="-120" windowWidth="25440" windowHeight="15390" xr2:uid="{D6D933F7-45F5-4830-B15D-1CB37E3700CA}"/>
  </bookViews>
  <sheets>
    <sheet name="Week-2-Sales-Data" sheetId="2" r:id="rId1"/>
  </sheets>
  <definedNames>
    <definedName name="ExternalData_1" localSheetId="0" hidden="1">'Week-2-Sales-Data'!$A$14:$I$114</definedName>
  </definedNames>
  <calcPr calcId="191029"/>
  <pivotCaches>
    <pivotCache cacheId="0"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 l="1"/>
  <c r="H24" i="2"/>
  <c r="H27" i="2"/>
  <c r="H31" i="2"/>
  <c r="H38" i="2"/>
  <c r="H39" i="2"/>
  <c r="H40" i="2"/>
  <c r="H45" i="2"/>
  <c r="H49" i="2"/>
  <c r="H54" i="2"/>
  <c r="H57" i="2"/>
  <c r="H60" i="2"/>
  <c r="H62" i="2"/>
  <c r="H63" i="2"/>
  <c r="H64" i="2"/>
  <c r="H65" i="2"/>
  <c r="H68" i="2"/>
  <c r="H69" i="2"/>
  <c r="H71" i="2"/>
  <c r="H79" i="2"/>
  <c r="H80" i="2"/>
  <c r="H82" i="2"/>
  <c r="H98" i="2"/>
  <c r="H99" i="2"/>
  <c r="H1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317E96-94B9-4C90-88DB-AFC0D58DDA1A}" keepAlive="1" name="Query - Week-2-Sales-Data" description="Connection to the 'Week-2-Sales-Data' query in the workbook." type="5" refreshedVersion="8" background="1" saveData="1">
    <dbPr connection="Provider=Microsoft.Mashup.OleDb.1;Data Source=$Workbook$;Location=Week-2-Sales-Data;Extended Properties=&quot;&quot;" command="SELECT * FROM [Week-2-Sales-Data]"/>
  </connection>
</connections>
</file>

<file path=xl/sharedStrings.xml><?xml version="1.0" encoding="utf-8"?>
<sst xmlns="http://schemas.openxmlformats.org/spreadsheetml/2006/main" count="515" uniqueCount="152">
  <si>
    <t>Order_ID</t>
  </si>
  <si>
    <t>Product</t>
  </si>
  <si>
    <t>Region</t>
  </si>
  <si>
    <t>Units_Sold</t>
  </si>
  <si>
    <t>Unit_Price</t>
  </si>
  <si>
    <t>Revenue</t>
  </si>
  <si>
    <t>Sales_Rep</t>
  </si>
  <si>
    <t>Order_Date</t>
  </si>
  <si>
    <t>ORD001</t>
  </si>
  <si>
    <t>Printer</t>
  </si>
  <si>
    <t>Limpopo</t>
  </si>
  <si>
    <t>Rep-2</t>
  </si>
  <si>
    <t>ORD002</t>
  </si>
  <si>
    <t>Headphones</t>
  </si>
  <si>
    <t>Western Cape</t>
  </si>
  <si>
    <t>Rep-18</t>
  </si>
  <si>
    <t>ORD003</t>
  </si>
  <si>
    <t>Laptop</t>
  </si>
  <si>
    <t>Rep-16</t>
  </si>
  <si>
    <t>ORD004</t>
  </si>
  <si>
    <t>External Hard Drive</t>
  </si>
  <si>
    <t>KwaZulu-Natal</t>
  </si>
  <si>
    <t>Rep-3</t>
  </si>
  <si>
    <t>ORD005</t>
  </si>
  <si>
    <t>Smartphone</t>
  </si>
  <si>
    <t>Rep-17</t>
  </si>
  <si>
    <t>ORD006</t>
  </si>
  <si>
    <t>Smartwatch</t>
  </si>
  <si>
    <t>North West</t>
  </si>
  <si>
    <t>Rep-19</t>
  </si>
  <si>
    <t>ORD007</t>
  </si>
  <si>
    <t>Tablet</t>
  </si>
  <si>
    <t>Free State</t>
  </si>
  <si>
    <t>Rep-1</t>
  </si>
  <si>
    <t>ORD008</t>
  </si>
  <si>
    <t>Gauteng</t>
  </si>
  <si>
    <t>Rep-7</t>
  </si>
  <si>
    <t>ORD009</t>
  </si>
  <si>
    <t>Eastern Cape</t>
  </si>
  <si>
    <t>Rep-15</t>
  </si>
  <si>
    <t>ORD010</t>
  </si>
  <si>
    <t>Rep-14</t>
  </si>
  <si>
    <t>ORD011</t>
  </si>
  <si>
    <t>Rep-12</t>
  </si>
  <si>
    <t>ORD012</t>
  </si>
  <si>
    <t>ORD013</t>
  </si>
  <si>
    <t>Rep-20</t>
  </si>
  <si>
    <t>ORD014</t>
  </si>
  <si>
    <t>Rep-13</t>
  </si>
  <si>
    <t>ORD015</t>
  </si>
  <si>
    <t>Rep-11</t>
  </si>
  <si>
    <t>ORD016</t>
  </si>
  <si>
    <t>ORD017</t>
  </si>
  <si>
    <t>ORD018</t>
  </si>
  <si>
    <t>ORD019</t>
  </si>
  <si>
    <t>ORD020</t>
  </si>
  <si>
    <t>Rep-8</t>
  </si>
  <si>
    <t>ORD021</t>
  </si>
  <si>
    <t>ORD022</t>
  </si>
  <si>
    <t>ORD023</t>
  </si>
  <si>
    <t>ORD024</t>
  </si>
  <si>
    <t>ORD025</t>
  </si>
  <si>
    <t>Rep-4</t>
  </si>
  <si>
    <t>ORD026</t>
  </si>
  <si>
    <t>ORD027</t>
  </si>
  <si>
    <t>ORD028</t>
  </si>
  <si>
    <t>Rep-9</t>
  </si>
  <si>
    <t>ORD029</t>
  </si>
  <si>
    <t>ORD030</t>
  </si>
  <si>
    <t>ORD031</t>
  </si>
  <si>
    <t>ORD032</t>
  </si>
  <si>
    <t>ORD033</t>
  </si>
  <si>
    <t>ORD034</t>
  </si>
  <si>
    <t>ORD035</t>
  </si>
  <si>
    <t>ORD036</t>
  </si>
  <si>
    <t>ORD037</t>
  </si>
  <si>
    <t>ORD038</t>
  </si>
  <si>
    <t>ORD039</t>
  </si>
  <si>
    <t>ORD040</t>
  </si>
  <si>
    <t>Rep-6</t>
  </si>
  <si>
    <t>ORD041</t>
  </si>
  <si>
    <t>ORD042</t>
  </si>
  <si>
    <t>ORD043</t>
  </si>
  <si>
    <t>ORD044</t>
  </si>
  <si>
    <t>ORD045</t>
  </si>
  <si>
    <t>ORD046</t>
  </si>
  <si>
    <t>ORD047</t>
  </si>
  <si>
    <t>ORD048</t>
  </si>
  <si>
    <t>ORD049</t>
  </si>
  <si>
    <t>ORD050</t>
  </si>
  <si>
    <t>ORD051</t>
  </si>
  <si>
    <t>ORD052</t>
  </si>
  <si>
    <t>ORD053</t>
  </si>
  <si>
    <t>ORD054</t>
  </si>
  <si>
    <t>ORD055</t>
  </si>
  <si>
    <t>ORD056</t>
  </si>
  <si>
    <t>Rep-5</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</si>
  <si>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</si>
  <si>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</si>
  <si>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</si>
  <si>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</si>
  <si>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</si>
  <si>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</si>
  <si>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</si>
  <si>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</si>
  <si>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</si>
  <si>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</si>
  <si>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</si>
  <si>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</si>
  <si>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</si>
  <si>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</si>
  <si>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</si>
  <si>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</si>
  <si>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</si>
  <si>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</si>
  <si>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</si>
  <si>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</si>
  <si>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</si>
  <si>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</si>
  <si>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</si>
  <si>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</si>
  <si>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</si>
  <si>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</si>
  <si>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</si>
  <si>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</si>
  <si>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</si>
  <si>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</si>
  <si>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</si>
  <si>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Rep-10</t>
  </si>
  <si>
    <t>ORD088</t>
  </si>
  <si>
    <t>ORD089</t>
  </si>
  <si>
    <t>ORD090</t>
  </si>
  <si>
    <t>ORD091</t>
  </si>
  <si>
    <t>ORD092</t>
  </si>
  <si>
    <t>ORD093</t>
  </si>
  <si>
    <t>ORD094</t>
  </si>
  <si>
    <t>ORD095</t>
  </si>
  <si>
    <t>ORD096</t>
  </si>
  <si>
    <t>ORD097</t>
  </si>
  <si>
    <t>ORD098</t>
  </si>
  <si>
    <t>ORD099</t>
  </si>
  <si>
    <t>ORD100</t>
  </si>
  <si>
    <t>Row Labels</t>
  </si>
  <si>
    <t>Grand Total</t>
  </si>
  <si>
    <t>Sum of Revenue</t>
  </si>
  <si>
    <t>Month</t>
  </si>
  <si>
    <t>March</t>
  </si>
  <si>
    <t>February</t>
  </si>
  <si>
    <t>April</t>
  </si>
  <si>
    <t>May</t>
  </si>
  <si>
    <t>June</t>
  </si>
  <si>
    <t>https://colab.research.google.com/drive/1qswJMdBv-9lZFN6YB30ddFVGf8mr2aPr?usp=sharing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</si>
</sst>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x14ac:knownFonts="1">
    <font>
      <sz val="11"/>
      <color theme="1"/>
      <name val="Aptos Narrow"/>
      <family val="2"/>
      <scheme val="minor"/>
    </font>
    <font>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11"/>
      <color rgb="FFC00000"/>
      <name val="Aptos Narrow"/>
      <family val="2"/>
      <scheme val="minor"/>
    </font>
    <font>
      <sz val="11"/>
      <color rgb="FF00B0F0"/>
      <name val="Aptos Narrow"/>
      <family val="2"/>
      <scheme val="minor"/>
    </font>
    <font>
      <sz val="11"/>
      <color rgb="FF7030A0"/>
      <name val="Aptos Narrow"/>
      <family val="2"/>
      <scheme val="minor"/>
    </font>
    <font>
      <sz val="11"/>
      <color theme="9" tint="-0.499984740745262"/>
      <name val="Aptos Narrow"/>
      <family val="2"/>
      <scheme val="minor"/>
    </font>
    <font>
      <sz val="11"/>
      <color theme="9" tint="-0.249977111117893"/>
      <name val="Aptos Narrow"/>
      <family val="2"/>
      <scheme val="minor"/>
    </font>
    <font>
      <sz val="11"/>
      <color rgb="FF00B05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3">
    <xf numFmtId="0" fontId="0" fillId="0" borderId="0" xfId="0"/>
    <xf numFmtId="14" fontId="0" fillId="0" borderId="0" xfId="0" applyNumberFormat="1"/>
    <xf numFmtId="0" fontId="0" fillId="0" borderId="0" xfId="0" applyAlignment="1">
      <alignment horizontal="left"/>
    </xf>
    <xf numFmtId="14" fontId="0" fillId="0" borderId="0" xfId="1" applyNumberFormat="1" applyFont="1"/>
    <xf numFmtId="14" fontId="0" fillId="0" borderId="0" xfId="0" applyNumberFormat="1" applyAlignment="1">
      <alignment horizontal="right"/>
    </xf>
    <xf numFmtId="0" fontId="4" fillId="0" borderId="0" xfId="0" applyFont="1" applyAlignment="1">
      <alignment horizontal="left"/>
    </xf>
    <xf numFmtId="0" fontId="5" fillId="0" borderId="0" xfId="0" pivotButton="1" applyFont="1"/>
    <xf numFmtId="0" fontId="6" fillId="0" borderId="0" xfId="0" applyFont="1"/>
    <xf numFmtId="0" fontId="7" fillId="0" borderId="0" xfId="0" pivotButton="1" applyFont="1"/>
    <xf numFmtId="0" fontId="8" fillId="0" borderId="0" xfId="0" applyFont="1"/>
    <xf numFmtId="0" fontId="9" fillId="0" borderId="0" xfId="0" pivotButton="1" applyFont="1"/>
    <xf numFmtId="0" fontId="10" fillId="0" borderId="0" xfId="0" applyFont="1"/>
    <xf numFmtId="0" fontId="3" fillId="0" borderId="0" xfId="2"/>
  </cellXfs>
  <cellStyles count="3">
    <cellStyle name="Currency" xfId="1" builtinId="4"/>
    <cellStyle name="Hyperlink" xfId="2" builtinId="8"/>
    <cellStyle name="Normal" xfId="0" builtinId="0"/>
  </cellStyles>
  <dxfs count="13">
    <dxf>
      <numFmt numFmtId="19" formatCode="m/d/yyyy"/>
    </dxf>
    <dxf>
      <numFmt numFmtId="19" formatCode="m/d/yyyy"/>
    </dxf>
    <dxf>
      <numFmt numFmtId="0" formatCode="General"/>
    </dxf>
    <dxf>
      <numFmt numFmtId="0" formatCode="General"/>
    </dxf>
    <dxf>
      <numFmt numFmtId="0" formatCode="General"/>
    </dxf>
    <dxf>
      <numFmt numFmtId="0" formatCode="General"/>
    </dxf>
    <dxf>
      <font>
        <color rgb="FF00B050"/>
      </font>
    </dxf>
    <dxf>
      <font>
        <color theme="9" tint="-0.249977111117893"/>
      </font>
    </dxf>
    <dxf>
      <font>
        <color rgb="FF00B0F0"/>
      </font>
    </dxf>
    <dxf>
      <font>
        <color rgb="FFC00000"/>
      </font>
    </dxf>
    <dxf>
      <font>
        <color auto="1"/>
      </font>
    </dxf>
    <dxf>
      <font>
        <color theme="9" tint="-0.499984740745262"/>
      </font>
    </dxf>
    <dxf>
      <font>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Collection &amp; Management.xlsx]Week-2-Sales-Data!PivotTable3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FFC000"/>
          </a:solidFill>
          <a:ln>
            <a:noFill/>
          </a:ln>
          <a:effectLst/>
        </c:spPr>
      </c:pivotFmt>
      <c:pivotFmt>
        <c:idx val="3"/>
        <c:spPr>
          <a:solidFill>
            <a:srgbClr val="FFFF00"/>
          </a:solidFill>
          <a:ln>
            <a:noFill/>
          </a:ln>
          <a:effectLst/>
        </c:spPr>
      </c:pivotFmt>
      <c:pivotFmt>
        <c:idx val="4"/>
        <c:spPr>
          <a:solidFill>
            <a:srgbClr val="002060"/>
          </a:solidFill>
          <a:ln>
            <a:noFill/>
          </a:ln>
          <a:effectLst/>
        </c:spPr>
      </c:pivotFmt>
      <c:pivotFmt>
        <c:idx val="5"/>
        <c:spPr>
          <a:solidFill>
            <a:srgbClr val="00B050"/>
          </a:solidFill>
          <a:ln>
            <a:noFill/>
          </a:ln>
          <a:effectLst/>
        </c:spPr>
      </c:pivotFmt>
      <c:pivotFmt>
        <c:idx val="6"/>
        <c:spPr>
          <a:solidFill>
            <a:schemeClr val="accent5">
              <a:lumMod val="60000"/>
              <a:lumOff val="40000"/>
            </a:schemeClr>
          </a:solidFill>
          <a:ln>
            <a:noFill/>
          </a:ln>
          <a:effectLst/>
        </c:spPr>
      </c:pivotFmt>
      <c:pivotFmt>
        <c:idx val="7"/>
        <c:spPr>
          <a:solidFill>
            <a:schemeClr val="tx1">
              <a:lumMod val="65000"/>
              <a:lumOff val="35000"/>
            </a:schemeClr>
          </a:solidFill>
          <a:ln>
            <a:noFill/>
          </a:ln>
          <a:effectLst/>
        </c:spPr>
      </c:pivotFmt>
    </c:pivotFmts>
    <c:plotArea>
      <c:layout/>
      <c:barChart>
        <c:barDir val="col"/>
        <c:grouping val="clustered"/>
        <c:varyColors val="0"/>
        <c:ser>
          <c:idx val="0"/>
          <c:order val="0"/>
          <c:tx>
            <c:strRef>
              <c:f>'Week-2-Sales-Data'!$C$131</c:f>
              <c:strCache>
                <c:ptCount val="1"/>
                <c:pt idx="0">
                  <c:v>Total</c:v>
                </c:pt>
              </c:strCache>
            </c:strRef>
          </c:tx>
          <c:spPr>
            <a:solidFill>
              <a:schemeClr val="bg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72EC-4458-8E73-754A6C873194}"/>
              </c:ext>
            </c:extLst>
          </c:dPt>
          <c:dPt>
            <c:idx val="1"/>
            <c:invertIfNegative val="0"/>
            <c:bubble3D val="0"/>
            <c:spPr>
              <a:solidFill>
                <a:srgbClr val="FFC000"/>
              </a:solidFill>
              <a:ln>
                <a:noFill/>
              </a:ln>
              <a:effectLst/>
            </c:spPr>
            <c:extLst>
              <c:ext xmlns:c16="http://schemas.microsoft.com/office/drawing/2014/chart" uri="{C3380CC4-5D6E-409C-BE32-E72D297353CC}">
                <c16:uniqueId val="{00000003-72EC-4458-8E73-754A6C873194}"/>
              </c:ext>
            </c:extLst>
          </c:dPt>
          <c:dPt>
            <c:idx val="2"/>
            <c:invertIfNegative val="0"/>
            <c:bubble3D val="0"/>
            <c:spPr>
              <a:solidFill>
                <a:srgbClr val="FFFF00"/>
              </a:solidFill>
              <a:ln>
                <a:noFill/>
              </a:ln>
              <a:effectLst/>
            </c:spPr>
            <c:extLst>
              <c:ext xmlns:c16="http://schemas.microsoft.com/office/drawing/2014/chart" uri="{C3380CC4-5D6E-409C-BE32-E72D297353CC}">
                <c16:uniqueId val="{00000004-72EC-4458-8E73-754A6C873194}"/>
              </c:ext>
            </c:extLst>
          </c:dPt>
          <c:dPt>
            <c:idx val="3"/>
            <c:invertIfNegative val="0"/>
            <c:bubble3D val="0"/>
            <c:spPr>
              <a:solidFill>
                <a:srgbClr val="002060"/>
              </a:solidFill>
              <a:ln>
                <a:noFill/>
              </a:ln>
              <a:effectLst/>
            </c:spPr>
            <c:extLst>
              <c:ext xmlns:c16="http://schemas.microsoft.com/office/drawing/2014/chart" uri="{C3380CC4-5D6E-409C-BE32-E72D297353CC}">
                <c16:uniqueId val="{00000005-72EC-4458-8E73-754A6C873194}"/>
              </c:ext>
            </c:extLst>
          </c:dPt>
          <c:dPt>
            <c:idx val="4"/>
            <c:invertIfNegative val="0"/>
            <c:bubble3D val="0"/>
            <c:spPr>
              <a:solidFill>
                <a:srgbClr val="00B050"/>
              </a:solidFill>
              <a:ln>
                <a:noFill/>
              </a:ln>
              <a:effectLst/>
            </c:spPr>
            <c:extLst>
              <c:ext xmlns:c16="http://schemas.microsoft.com/office/drawing/2014/chart" uri="{C3380CC4-5D6E-409C-BE32-E72D297353CC}">
                <c16:uniqueId val="{00000006-72EC-4458-8E73-754A6C873194}"/>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72EC-4458-8E73-754A6C873194}"/>
              </c:ext>
            </c:extLst>
          </c:dPt>
          <c:dPt>
            <c:idx val="6"/>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8-72EC-4458-8E73-754A6C873194}"/>
              </c:ext>
            </c:extLst>
          </c:dPt>
          <c:cat>
            <c:strRef>
              <c:f>'Week-2-Sales-Data'!$B$132:$B$139</c:f>
              <c:strCache>
                <c:ptCount val="7"/>
                <c:pt idx="0">
                  <c:v>Eastern Cape</c:v>
                </c:pt>
                <c:pt idx="1">
                  <c:v>Free State</c:v>
                </c:pt>
                <c:pt idx="2">
                  <c:v>Gauteng</c:v>
                </c:pt>
                <c:pt idx="3">
                  <c:v>KwaZulu-Natal</c:v>
                </c:pt>
                <c:pt idx="4">
                  <c:v>Limpopo</c:v>
                </c:pt>
                <c:pt idx="5">
                  <c:v>North West</c:v>
                </c:pt>
                <c:pt idx="6">
                  <c:v>Western Cape</c:v>
                </c:pt>
              </c:strCache>
            </c:strRef>
          </c:cat>
          <c:val>
            <c:numRef>
              <c:f>'Week-2-Sales-Data'!$C$132:$C$139</c:f>
              <c:numCache>
                <c:formatCode>General</c:formatCode>
                <c:ptCount val="7"/>
                <c:pt idx="0">
                  <c:v>2981638</c:v>
                </c:pt>
                <c:pt idx="1">
                  <c:v>3359398</c:v>
                </c:pt>
                <c:pt idx="2">
                  <c:v>6231531</c:v>
                </c:pt>
                <c:pt idx="3">
                  <c:v>3560630</c:v>
                </c:pt>
                <c:pt idx="4">
                  <c:v>3614655</c:v>
                </c:pt>
                <c:pt idx="5">
                  <c:v>6201288</c:v>
                </c:pt>
                <c:pt idx="6">
                  <c:v>9346198</c:v>
                </c:pt>
              </c:numCache>
            </c:numRef>
          </c:val>
          <c:extLst>
            <c:ext xmlns:c16="http://schemas.microsoft.com/office/drawing/2014/chart" uri="{C3380CC4-5D6E-409C-BE32-E72D297353CC}">
              <c16:uniqueId val="{00000000-72EC-4458-8E73-754A6C873194}"/>
            </c:ext>
          </c:extLst>
        </c:ser>
        <c:dLbls>
          <c:showLegendKey val="0"/>
          <c:showVal val="0"/>
          <c:showCatName val="0"/>
          <c:showSerName val="0"/>
          <c:showPercent val="0"/>
          <c:showBubbleSize val="0"/>
        </c:dLbls>
        <c:gapWidth val="219"/>
        <c:overlap val="-27"/>
        <c:axId val="265744399"/>
        <c:axId val="265744879"/>
      </c:barChart>
      <c:catAx>
        <c:axId val="26574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44879"/>
        <c:crosses val="autoZero"/>
        <c:auto val="1"/>
        <c:lblAlgn val="ctr"/>
        <c:lblOffset val="100"/>
        <c:noMultiLvlLbl val="0"/>
      </c:catAx>
      <c:valAx>
        <c:axId val="26574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4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551087</xdr:colOff>
      <xdr:row>141</xdr:row>
      <xdr:rowOff>84364</xdr:rowOff>
    </xdr:from>
    <xdr:to>
      <xdr:col>7</xdr:col>
      <xdr:colOff>748392</xdr:colOff>
      <xdr:row>163</xdr:row>
      <xdr:rowOff>163286</xdr:rowOff>
    </xdr:to>
    <xdr:graphicFrame macro="">
      <xdr:nvGraphicFramePr>
        <xdr:cNvPr id="3" name="Chart 2">
          <a:extLst>
            <a:ext uri="{FF2B5EF4-FFF2-40B4-BE49-F238E27FC236}">
              <a16:creationId xmlns:a16="http://schemas.microsoft.com/office/drawing/2014/main" id="{96B5FDB4-8AFF-3EB5-FDAF-6E71DFC5B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13607</xdr:colOff>
      <xdr:row>179</xdr:row>
      <xdr:rowOff>13606</xdr:rowOff>
    </xdr:from>
    <xdr:to>
      <xdr:col>12</xdr:col>
      <xdr:colOff>789214</xdr:colOff>
      <xdr:row>214</xdr:row>
      <xdr:rowOff>27213</xdr:rowOff>
    </xdr:to>
    <xdr:sp macro="" textlink="">
      <xdr:nvSpPr>
        <xdr:cNvPr id="4" name="TextBox 6">
          <a:extLst>
            <a:ext uri="{FF2B5EF4-FFF2-40B4-BE49-F238E27FC236}">
              <a16:creationId xmlns:a16="http://schemas.microsoft.com/office/drawing/2014/main" id="{3823007A-15E8-BF34-524A-C67CC2F4A729}"/>
            </a:ext>
          </a:extLst>
        </xdr:cNvPr>
        <xdr:cNvSpPr txBox="1"/>
      </xdr:nvSpPr>
      <xdr:spPr>
        <a:xfrm>
          <a:off x="762000" y="31636606"/>
          <a:ext cx="10790464" cy="66811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800" b="1">
              <a:solidFill>
                <a:srgbClr val="FF0000"/>
              </a:solidFill>
            </a:rPr>
            <a:t>Type of Data</a:t>
          </a:r>
        </a:p>
        <a:p>
          <a:r>
            <a:rPr lang="en-US" sz="1800"/>
            <a:t>The dataset contains </a:t>
          </a:r>
          <a:r>
            <a:rPr lang="en-US" sz="1800" b="1"/>
            <a:t>structured data</a:t>
          </a:r>
          <a:r>
            <a:rPr lang="en-US" sz="1800"/>
            <a:t>. This is because the information is organized into rows and columns with clearly defined headings, and each column contains a specific type of data (text or numbers). Structured data is easy to store, sort, filter, and analyze using tools like Excel or databases. The consistent format makes it suitable for calculations, summaries, and chart creation.</a:t>
          </a:r>
        </a:p>
        <a:p>
          <a:br>
            <a:rPr lang="en-US" sz="1800"/>
          </a:br>
          <a:endParaRPr lang="en-US" sz="1800"/>
        </a:p>
        <a:p>
          <a:r>
            <a:rPr lang="en-US" sz="1800" b="1">
              <a:solidFill>
                <a:srgbClr val="00B0F0"/>
              </a:solidFill>
            </a:rPr>
            <a:t>Purpose of Each Column</a:t>
          </a:r>
        </a:p>
        <a:p>
          <a:r>
            <a:rPr lang="en-US" sz="1800" b="1">
              <a:solidFill>
                <a:srgbClr val="00B0F0"/>
              </a:solidFill>
            </a:rPr>
            <a:t>Product</a:t>
          </a:r>
          <a:endParaRPr lang="en-US" sz="1800">
            <a:solidFill>
              <a:srgbClr val="00B0F0"/>
            </a:solidFill>
          </a:endParaRPr>
        </a:p>
        <a:p>
          <a:pPr lvl="1"/>
          <a:r>
            <a:rPr lang="en-US" sz="1800"/>
            <a:t>Contains the name of each product (e.g., Widget A, Widget B).</a:t>
          </a:r>
        </a:p>
        <a:p>
          <a:pPr lvl="1"/>
          <a:r>
            <a:rPr lang="en-US" sz="1800"/>
            <a:t>Used to identify and compare different items in the dataset.</a:t>
          </a:r>
        </a:p>
        <a:p>
          <a:r>
            <a:rPr lang="en-US" sz="1800" b="1">
              <a:solidFill>
                <a:schemeClr val="accent2"/>
              </a:solidFill>
            </a:rPr>
            <a:t>Revenue</a:t>
          </a:r>
          <a:endParaRPr lang="en-US" sz="1800">
            <a:solidFill>
              <a:schemeClr val="accent2"/>
            </a:solidFill>
          </a:endParaRPr>
        </a:p>
        <a:p>
          <a:pPr lvl="1"/>
          <a:r>
            <a:rPr lang="en-US" sz="1800"/>
            <a:t>Shows the total sales income generated by each product.</a:t>
          </a:r>
        </a:p>
        <a:p>
          <a:pPr lvl="1"/>
          <a:r>
            <a:rPr lang="en-US" sz="1800"/>
            <a:t>Used to calculate total revenue, averages, and identify the top-performing product.</a:t>
          </a:r>
        </a:p>
        <a:p>
          <a:r>
            <a:rPr lang="en-US" sz="1800" b="1">
              <a:solidFill>
                <a:srgbClr val="0070C0"/>
              </a:solidFill>
            </a:rPr>
            <a:t>Units Sold</a:t>
          </a:r>
          <a:endParaRPr lang="en-US" sz="1800">
            <a:solidFill>
              <a:srgbClr val="0070C0"/>
            </a:solidFill>
          </a:endParaRPr>
        </a:p>
        <a:p>
          <a:pPr lvl="1"/>
          <a:r>
            <a:rPr lang="en-US" sz="1800"/>
            <a:t>Indicates the number of units sold per product.</a:t>
          </a:r>
        </a:p>
        <a:p>
          <a:pPr lvl="1"/>
          <a:r>
            <a:rPr lang="en-US" sz="1800"/>
            <a:t>Helps measure product demand and sales performance.</a:t>
          </a:r>
        </a:p>
        <a:p>
          <a:r>
            <a:rPr lang="en-US" sz="1800" b="1">
              <a:solidFill>
                <a:srgbClr val="7030A0"/>
              </a:solidFill>
            </a:rPr>
            <a:t>Category</a:t>
          </a:r>
          <a:endParaRPr lang="en-US" sz="1800">
            <a:solidFill>
              <a:srgbClr val="7030A0"/>
            </a:solidFill>
          </a:endParaRPr>
        </a:p>
        <a:p>
          <a:pPr lvl="1"/>
          <a:r>
            <a:rPr lang="en-US" sz="1800"/>
            <a:t>Groups products into broader classifications (e.g., Electronics, Accessories).</a:t>
          </a:r>
        </a:p>
        <a:p>
          <a:pPr lvl="1"/>
          <a:r>
            <a:rPr lang="en-US" sz="1800"/>
            <a:t>Useful for analyzing performance by product category and creating grouped summaries or charts</a:t>
          </a:r>
        </a:p>
        <a:p>
          <a:endParaRPr lang="en-US" sz="1100"/>
        </a:p>
        <a:p>
          <a:endParaRPr lang="en-US" sz="1100"/>
        </a:p>
      </xdr:txBody>
    </xdr:sp>
    <xdr:clientData/>
  </xdr:twoCellAnchor>
  <xdr:twoCellAnchor>
    <xdr:from>
      <xdr:col>0</xdr:col>
      <xdr:colOff>187098</xdr:colOff>
      <xdr:row>1</xdr:row>
      <xdr:rowOff>42523</xdr:rowOff>
    </xdr:from>
    <xdr:to>
      <xdr:col>9</xdr:col>
      <xdr:colOff>561294</xdr:colOff>
      <xdr:row>11</xdr:row>
      <xdr:rowOff>144576</xdr:rowOff>
    </xdr:to>
    <xdr:sp macro="" textlink="">
      <xdr:nvSpPr>
        <xdr:cNvPr id="11" name="TextBox 10">
          <a:extLst>
            <a:ext uri="{FF2B5EF4-FFF2-40B4-BE49-F238E27FC236}">
              <a16:creationId xmlns:a16="http://schemas.microsoft.com/office/drawing/2014/main" id="{E6D735D8-0ADD-F4A8-7157-DB74FBE64B66}"/>
            </a:ext>
          </a:extLst>
        </xdr:cNvPr>
        <xdr:cNvSpPr txBox="1"/>
      </xdr:nvSpPr>
      <xdr:spPr>
        <a:xfrm>
          <a:off x="187098" y="229621"/>
          <a:ext cx="8700067" cy="663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accent1">
                  <a:lumMod val="60000"/>
                  <a:lumOff val="40000"/>
                </a:schemeClr>
              </a:solidFill>
            </a:rPr>
            <a:t>Betty</a:t>
          </a:r>
          <a:r>
            <a:rPr lang="en-US" sz="4000" baseline="0">
              <a:solidFill>
                <a:schemeClr val="accent1">
                  <a:lumMod val="60000"/>
                  <a:lumOff val="40000"/>
                </a:schemeClr>
              </a:solidFill>
            </a:rPr>
            <a:t> Morudu</a:t>
          </a:r>
        </a:p>
        <a:p>
          <a:r>
            <a:rPr lang="en-US" sz="4000" baseline="0">
              <a:solidFill>
                <a:schemeClr val="accent1">
                  <a:lumMod val="60000"/>
                  <a:lumOff val="40000"/>
                </a:schemeClr>
              </a:solidFill>
            </a:rPr>
            <a:t>Cleaned Dataset</a:t>
          </a:r>
        </a:p>
        <a:p>
          <a:r>
            <a:rPr lang="en-US" sz="4000" baseline="0">
              <a:solidFill>
                <a:schemeClr val="accent1">
                  <a:lumMod val="60000"/>
                  <a:lumOff val="40000"/>
                </a:schemeClr>
              </a:solidFill>
            </a:rPr>
            <a:t>Data Collection &amp; Management</a:t>
          </a:r>
        </a:p>
        <a:p>
          <a:endParaRPr lang="en-US" sz="4000" baseline="0"/>
        </a:p>
        <a:p>
          <a:endParaRPr lang="en-US" sz="4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JHB" refreshedDate="46069.527938541665" createdVersion="8" refreshedVersion="8" minRefreshableVersion="3" recordCount="100" xr:uid="{05C9F2C3-27F5-4A12-8FB6-906702E6DA14}">
  <cacheSource type="worksheet">
    <worksheetSource name="Week_2_Sales_Data"/>
  </cacheSource>
  <cacheFields count="8">
    <cacheField name="Order_ID" numFmtId="0">
      <sharedItems/>
    </cacheField>
    <cacheField name="Product" numFmtId="0">
      <sharedItems count="7">
        <s v="Printer"/>
        <s v="Headphones"/>
        <s v="Laptop"/>
        <s v="External Hard Drive"/>
        <s v="Smartphone"/>
        <s v="Smartwatch"/>
        <s v="Tablet"/>
      </sharedItems>
    </cacheField>
    <cacheField name="Region" numFmtId="0">
      <sharedItems count="7">
        <s v="Limpopo"/>
        <s v="Western Cape"/>
        <s v="KwaZulu-Natal"/>
        <s v="North West"/>
        <s v="Free State"/>
        <s v="Gauteng"/>
        <s v="Eastern Cape"/>
      </sharedItems>
    </cacheField>
    <cacheField name="Units_Sold" numFmtId="0">
      <sharedItems containsSemiMixedTypes="0" containsString="0" containsNumber="1" containsInteger="1" minValue="2" maxValue="49"/>
    </cacheField>
    <cacheField name="Unit_Price" numFmtId="0">
      <sharedItems containsSemiMixedTypes="0" containsString="0" containsNumber="1" containsInteger="1" minValue="927" maxValue="24995"/>
    </cacheField>
    <cacheField name="Revenue" numFmtId="0">
      <sharedItems containsSemiMixedTypes="0" containsString="0" containsNumber="1" containsInteger="1" minValue="7914" maxValue="1040204"/>
    </cacheField>
    <cacheField name="Sales_Rep" numFmtId="0">
      <sharedItems/>
    </cacheField>
    <cacheField name="Order_Date" numFmtId="14">
      <sharedItems containsSemiMixedTypes="0" containsNonDate="0" containsDate="1" containsString="0" minDate="2024-01-01T00:00:00" maxDate="2024-06-30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x v="0"/>
    <n v="45"/>
    <n v="2985"/>
    <n v="134325"/>
    <s v="Rep-2"/>
    <d v="2024-03-28T00:00:00"/>
  </r>
  <r>
    <s v="ORD002"/>
    <x v="1"/>
    <x v="1"/>
    <n v="16"/>
    <n v="15076"/>
    <n v="241216"/>
    <s v="Rep-18"/>
    <d v="2024-04-11T00:00:00"/>
  </r>
  <r>
    <s v="ORD003"/>
    <x v="2"/>
    <x v="1"/>
    <n v="45"/>
    <n v="14860"/>
    <n v="668700"/>
    <s v="Rep-16"/>
    <d v="2024-05-18T00:00:00"/>
  </r>
  <r>
    <s v="ORD004"/>
    <x v="3"/>
    <x v="2"/>
    <n v="21"/>
    <n v="16237"/>
    <n v="340977"/>
    <s v="Rep-3"/>
    <d v="2024-05-16T00:00:00"/>
  </r>
  <r>
    <s v="ORD005"/>
    <x v="4"/>
    <x v="1"/>
    <n v="41"/>
    <n v="9420"/>
    <n v="386220"/>
    <s v="Rep-17"/>
    <d v="2024-02-21T00:00:00"/>
  </r>
  <r>
    <s v="ORD006"/>
    <x v="5"/>
    <x v="3"/>
    <n v="34"/>
    <n v="9745"/>
    <n v="331330"/>
    <s v="Rep-19"/>
    <d v="2024-03-29T00:00:00"/>
  </r>
  <r>
    <s v="ORD007"/>
    <x v="6"/>
    <x v="4"/>
    <n v="5"/>
    <n v="17173"/>
    <n v="85865"/>
    <s v="Rep-1"/>
    <d v="2024-03-27T00:00:00"/>
  </r>
  <r>
    <s v="ORD008"/>
    <x v="5"/>
    <x v="5"/>
    <n v="20"/>
    <n v="1392"/>
    <n v="27840"/>
    <s v="Rep-7"/>
    <d v="2024-01-17T00:00:00"/>
  </r>
  <r>
    <s v="ORD009"/>
    <x v="1"/>
    <x v="6"/>
    <n v="30"/>
    <n v="10614"/>
    <n v="318420"/>
    <s v="Rep-15"/>
    <d v="2024-05-05T00:00:00"/>
  </r>
  <r>
    <s v="ORD010"/>
    <x v="5"/>
    <x v="0"/>
    <n v="39"/>
    <n v="20114"/>
    <n v="784446"/>
    <s v="Rep-14"/>
    <d v="2024-01-17T00:00:00"/>
  </r>
  <r>
    <s v="ORD011"/>
    <x v="0"/>
    <x v="5"/>
    <n v="7"/>
    <n v="11665"/>
    <n v="81655"/>
    <s v="Rep-12"/>
    <d v="2024-05-23T00:00:00"/>
  </r>
  <r>
    <s v="ORD012"/>
    <x v="5"/>
    <x v="2"/>
    <n v="16"/>
    <n v="24838"/>
    <n v="397408"/>
    <s v="Rep-14"/>
    <d v="2024-06-26T00:00:00"/>
  </r>
  <r>
    <s v="ORD013"/>
    <x v="0"/>
    <x v="1"/>
    <n v="37"/>
    <n v="14447"/>
    <n v="534539"/>
    <s v="Rep-20"/>
    <d v="2024-01-25T00:00:00"/>
  </r>
  <r>
    <s v="ORD014"/>
    <x v="4"/>
    <x v="1"/>
    <n v="46"/>
    <n v="18624"/>
    <n v="856704"/>
    <s v="Rep-13"/>
    <d v="2024-06-05T00:00:00"/>
  </r>
  <r>
    <s v="ORD015"/>
    <x v="5"/>
    <x v="1"/>
    <n v="3"/>
    <n v="14424"/>
    <n v="43272"/>
    <s v="Rep-11"/>
    <d v="2024-05-29T00:00:00"/>
  </r>
  <r>
    <s v="ORD016"/>
    <x v="5"/>
    <x v="5"/>
    <n v="37"/>
    <n v="10416"/>
    <n v="385392"/>
    <s v="Rep-13"/>
    <d v="2024-04-25T00:00:00"/>
  </r>
  <r>
    <s v="ORD017"/>
    <x v="0"/>
    <x v="6"/>
    <n v="3"/>
    <n v="7002"/>
    <n v="21006"/>
    <s v="Rep-12"/>
    <d v="2024-01-15T00:00:00"/>
  </r>
  <r>
    <s v="ORD018"/>
    <x v="0"/>
    <x v="3"/>
    <n v="20"/>
    <n v="16955"/>
    <n v="339100"/>
    <s v="Rep-14"/>
    <d v="2024-05-30T00:00:00"/>
  </r>
  <r>
    <s v="ORD019"/>
    <x v="5"/>
    <x v="1"/>
    <n v="20"/>
    <n v="13113"/>
    <n v="262260"/>
    <s v="Rep-7"/>
    <d v="2024-03-25T00:00:00"/>
  </r>
  <r>
    <s v="ORD020"/>
    <x v="5"/>
    <x v="5"/>
    <n v="39"/>
    <n v="5363"/>
    <n v="209157"/>
    <s v="Rep-8"/>
    <d v="2024-03-08T00:00:00"/>
  </r>
  <r>
    <s v="ORD021"/>
    <x v="0"/>
    <x v="1"/>
    <n v="35"/>
    <n v="10579"/>
    <n v="370265"/>
    <s v="Rep-1"/>
    <d v="2024-03-14T00:00:00"/>
  </r>
  <r>
    <s v="ORD022"/>
    <x v="1"/>
    <x v="2"/>
    <n v="43"/>
    <n v="7719"/>
    <n v="331917"/>
    <s v="Rep-15"/>
    <d v="2024-05-21T00:00:00"/>
  </r>
  <r>
    <s v="ORD023"/>
    <x v="4"/>
    <x v="0"/>
    <n v="25"/>
    <n v="927"/>
    <n v="23175"/>
    <s v="Rep-15"/>
    <d v="2024-06-24T00:00:00"/>
  </r>
  <r>
    <s v="ORD024"/>
    <x v="6"/>
    <x v="5"/>
    <n v="18"/>
    <n v="11889"/>
    <n v="214002"/>
    <s v="Rep-19"/>
    <d v="2024-01-30T00:00:00"/>
  </r>
  <r>
    <s v="ORD025"/>
    <x v="6"/>
    <x v="6"/>
    <n v="23"/>
    <n v="10409"/>
    <n v="239407"/>
    <s v="Rep-4"/>
    <d v="2024-01-23T00:00:00"/>
  </r>
  <r>
    <s v="ORD026"/>
    <x v="3"/>
    <x v="2"/>
    <n v="13"/>
    <n v="11876"/>
    <n v="154388"/>
    <s v="Rep-20"/>
    <d v="2024-01-09T00:00:00"/>
  </r>
  <r>
    <s v="ORD027"/>
    <x v="1"/>
    <x v="3"/>
    <n v="42"/>
    <n v="20811"/>
    <n v="874062"/>
    <s v="Rep-2"/>
    <d v="2024-03-28T00:00:00"/>
  </r>
  <r>
    <s v="ORD028"/>
    <x v="2"/>
    <x v="0"/>
    <n v="14"/>
    <n v="19935"/>
    <n v="279090"/>
    <s v="Rep-9"/>
    <d v="2024-03-10T00:00:00"/>
  </r>
  <r>
    <s v="ORD029"/>
    <x v="1"/>
    <x v="5"/>
    <n v="37"/>
    <n v="21001"/>
    <n v="777037"/>
    <s v="Rep-1"/>
    <d v="2024-04-29T00:00:00"/>
  </r>
  <r>
    <s v="ORD030"/>
    <x v="5"/>
    <x v="2"/>
    <n v="20"/>
    <n v="10158"/>
    <n v="203160"/>
    <s v="Rep-1"/>
    <d v="2024-06-12T00:00:00"/>
  </r>
  <r>
    <s v="ORD031"/>
    <x v="5"/>
    <x v="1"/>
    <n v="16"/>
    <n v="24995"/>
    <n v="399920"/>
    <s v="Rep-14"/>
    <d v="2024-01-16T00:00:00"/>
  </r>
  <r>
    <s v="ORD032"/>
    <x v="3"/>
    <x v="3"/>
    <n v="36"/>
    <n v="20291"/>
    <n v="730476"/>
    <s v="Rep-19"/>
    <d v="2024-04-02T00:00:00"/>
  </r>
  <r>
    <s v="ORD033"/>
    <x v="4"/>
    <x v="6"/>
    <n v="19"/>
    <n v="5772"/>
    <n v="109668"/>
    <s v="Rep-4"/>
    <d v="2024-02-12T00:00:00"/>
  </r>
  <r>
    <s v="ORD034"/>
    <x v="3"/>
    <x v="0"/>
    <n v="28"/>
    <n v="5438"/>
    <n v="152264"/>
    <s v="Rep-16"/>
    <d v="2024-04-01T00:00:00"/>
  </r>
  <r>
    <s v="ORD035"/>
    <x v="4"/>
    <x v="4"/>
    <n v="46"/>
    <n v="14321"/>
    <n v="658766"/>
    <s v="Rep-12"/>
    <d v="2024-01-20T00:00:00"/>
  </r>
  <r>
    <s v="ORD036"/>
    <x v="4"/>
    <x v="6"/>
    <n v="35"/>
    <n v="15080"/>
    <n v="527800"/>
    <s v="Rep-11"/>
    <d v="2024-02-26T00:00:00"/>
  </r>
  <r>
    <s v="ORD037"/>
    <x v="4"/>
    <x v="3"/>
    <n v="4"/>
    <n v="24308"/>
    <n v="97232"/>
    <s v="Rep-14"/>
    <d v="2024-05-03T00:00:00"/>
  </r>
  <r>
    <s v="ORD038"/>
    <x v="5"/>
    <x v="1"/>
    <n v="2"/>
    <n v="16028"/>
    <n v="32056"/>
    <s v="Rep-7"/>
    <d v="2024-02-07T00:00:00"/>
  </r>
  <r>
    <s v="ORD039"/>
    <x v="0"/>
    <x v="5"/>
    <n v="44"/>
    <n v="7682"/>
    <n v="338008"/>
    <s v="Rep-20"/>
    <d v="2024-06-14T00:00:00"/>
  </r>
  <r>
    <s v="ORD040"/>
    <x v="3"/>
    <x v="0"/>
    <n v="40"/>
    <n v="2424"/>
    <n v="96960"/>
    <s v="Rep-6"/>
    <d v="2024-01-01T00:00:00"/>
  </r>
  <r>
    <s v="ORD041"/>
    <x v="0"/>
    <x v="3"/>
    <n v="6"/>
    <n v="1319"/>
    <n v="7914"/>
    <s v="Rep-19"/>
    <d v="2024-02-29T00:00:00"/>
  </r>
  <r>
    <s v="ORD042"/>
    <x v="6"/>
    <x v="4"/>
    <n v="33"/>
    <n v="12065"/>
    <n v="398145"/>
    <s v="Rep-19"/>
    <d v="2024-04-06T00:00:00"/>
  </r>
  <r>
    <s v="ORD043"/>
    <x v="4"/>
    <x v="6"/>
    <n v="16"/>
    <n v="9128"/>
    <n v="146048"/>
    <s v="Rep-7"/>
    <d v="2024-01-21T00:00:00"/>
  </r>
  <r>
    <s v="ORD044"/>
    <x v="1"/>
    <x v="1"/>
    <n v="2"/>
    <n v="20962"/>
    <n v="41924"/>
    <s v="Rep-6"/>
    <d v="2024-04-09T00:00:00"/>
  </r>
  <r>
    <s v="ORD045"/>
    <x v="2"/>
    <x v="3"/>
    <n v="20"/>
    <n v="18902"/>
    <n v="378040"/>
    <s v="Rep-4"/>
    <d v="2024-02-11T00:00:00"/>
  </r>
  <r>
    <s v="ORD046"/>
    <x v="6"/>
    <x v="4"/>
    <n v="5"/>
    <n v="2225"/>
    <n v="11125"/>
    <s v="Rep-8"/>
    <d v="2024-01-17T00:00:00"/>
  </r>
  <r>
    <s v="ORD047"/>
    <x v="5"/>
    <x v="1"/>
    <n v="24"/>
    <n v="16010"/>
    <n v="384240"/>
    <s v="Rep-11"/>
    <d v="2024-03-16T00:00:00"/>
  </r>
  <r>
    <s v="ORD048"/>
    <x v="5"/>
    <x v="1"/>
    <n v="47"/>
    <n v="16719"/>
    <n v="785793"/>
    <s v="Rep-13"/>
    <d v="2024-01-26T00:00:00"/>
  </r>
  <r>
    <s v="ORD049"/>
    <x v="0"/>
    <x v="5"/>
    <n v="44"/>
    <n v="15431"/>
    <n v="678964"/>
    <s v="Rep-3"/>
    <d v="2024-01-02T00:00:00"/>
  </r>
  <r>
    <s v="ORD050"/>
    <x v="6"/>
    <x v="5"/>
    <n v="43"/>
    <n v="10101"/>
    <n v="434343"/>
    <s v="Rep-18"/>
    <d v="2024-01-09T00:00:00"/>
  </r>
  <r>
    <s v="ORD051"/>
    <x v="0"/>
    <x v="2"/>
    <n v="27"/>
    <n v="8072"/>
    <n v="217944"/>
    <s v="Rep-14"/>
    <d v="2024-01-10T00:00:00"/>
  </r>
  <r>
    <s v="ORD052"/>
    <x v="5"/>
    <x v="6"/>
    <n v="42"/>
    <n v="4758"/>
    <n v="199836"/>
    <s v="Rep-9"/>
    <d v="2024-06-29T00:00:00"/>
  </r>
  <r>
    <s v="ORD053"/>
    <x v="0"/>
    <x v="1"/>
    <n v="26"/>
    <n v="24073"/>
    <n v="625898"/>
    <s v="Rep-3"/>
    <d v="2024-02-20T00:00:00"/>
  </r>
  <r>
    <s v="ORD054"/>
    <x v="6"/>
    <x v="4"/>
    <n v="25"/>
    <n v="21240"/>
    <n v="531000"/>
    <s v="Rep-4"/>
    <d v="2024-01-16T00:00:00"/>
  </r>
  <r>
    <s v="ORD055"/>
    <x v="6"/>
    <x v="0"/>
    <n v="46"/>
    <n v="15607"/>
    <n v="717922"/>
    <s v="Rep-17"/>
    <d v="2024-01-20T00:00:00"/>
  </r>
  <r>
    <s v="ORD056"/>
    <x v="6"/>
    <x v="3"/>
    <n v="44"/>
    <n v="23250"/>
    <n v="1023000"/>
    <s v="Rep-5"/>
    <d v="2024-04-29T00:00:00"/>
  </r>
  <r>
    <s v="ORD057"/>
    <x v="2"/>
    <x v="1"/>
    <n v="23"/>
    <n v="4808"/>
    <n v="110584"/>
    <s v="Rep-9"/>
    <d v="2024-01-13T00:00:00"/>
  </r>
  <r>
    <s v="ORD058"/>
    <x v="5"/>
    <x v="4"/>
    <n v="5"/>
    <n v="7183"/>
    <n v="35915"/>
    <s v="Rep-6"/>
    <d v="2024-02-16T00:00:00"/>
  </r>
  <r>
    <s v="ORD059"/>
    <x v="4"/>
    <x v="1"/>
    <n v="34"/>
    <n v="15062"/>
    <n v="512108"/>
    <s v="Rep-11"/>
    <d v="2024-05-31T00:00:00"/>
  </r>
  <r>
    <s v="ORD060"/>
    <x v="0"/>
    <x v="1"/>
    <n v="28"/>
    <n v="23794"/>
    <n v="666232"/>
    <s v="Rep-7"/>
    <d v="2024-04-26T00:00:00"/>
  </r>
  <r>
    <s v="ORD061"/>
    <x v="5"/>
    <x v="5"/>
    <n v="44"/>
    <n v="6455"/>
    <n v="284020"/>
    <s v="Rep-13"/>
    <d v="2024-02-12T00:00:00"/>
  </r>
  <r>
    <s v="ORD062"/>
    <x v="3"/>
    <x v="5"/>
    <n v="39"/>
    <n v="11109"/>
    <n v="433251"/>
    <s v="Rep-2"/>
    <d v="2024-02-11T00:00:00"/>
  </r>
  <r>
    <s v="ORD063"/>
    <x v="4"/>
    <x v="5"/>
    <n v="48"/>
    <n v="15425"/>
    <n v="740400"/>
    <s v="Rep-8"/>
    <d v="2024-06-23T00:00:00"/>
  </r>
  <r>
    <s v="ORD064"/>
    <x v="3"/>
    <x v="5"/>
    <n v="30"/>
    <n v="9479"/>
    <n v="284370"/>
    <s v="Rep-4"/>
    <d v="2024-02-15T00:00:00"/>
  </r>
  <r>
    <s v="ORD065"/>
    <x v="2"/>
    <x v="3"/>
    <n v="26"/>
    <n v="5734"/>
    <n v="149084"/>
    <s v="Rep-13"/>
    <d v="2024-01-10T00:00:00"/>
  </r>
  <r>
    <s v="ORD066"/>
    <x v="4"/>
    <x v="4"/>
    <n v="18"/>
    <n v="24495"/>
    <n v="440910"/>
    <s v="Rep-19"/>
    <d v="2024-01-19T00:00:00"/>
  </r>
  <r>
    <s v="ORD067"/>
    <x v="6"/>
    <x v="2"/>
    <n v="25"/>
    <n v="17989"/>
    <n v="449725"/>
    <s v="Rep-1"/>
    <d v="2024-06-02T00:00:00"/>
  </r>
  <r>
    <s v="ORD068"/>
    <x v="2"/>
    <x v="3"/>
    <n v="47"/>
    <n v="1862"/>
    <n v="87514"/>
    <s v="Rep-15"/>
    <d v="2024-01-09T00:00:00"/>
  </r>
  <r>
    <s v="ORD069"/>
    <x v="5"/>
    <x v="1"/>
    <n v="21"/>
    <n v="20353"/>
    <n v="427413"/>
    <s v="Rep-6"/>
    <d v="2024-03-05T00:00:00"/>
  </r>
  <r>
    <s v="ORD070"/>
    <x v="3"/>
    <x v="3"/>
    <n v="48"/>
    <n v="13228"/>
    <n v="634944"/>
    <s v="Rep-17"/>
    <d v="2024-05-18T00:00:00"/>
  </r>
  <r>
    <s v="ORD071"/>
    <x v="6"/>
    <x v="2"/>
    <n v="43"/>
    <n v="10407"/>
    <n v="447501"/>
    <s v="Rep-16"/>
    <d v="2024-06-10T00:00:00"/>
  </r>
  <r>
    <s v="ORD072"/>
    <x v="1"/>
    <x v="1"/>
    <n v="14"/>
    <n v="4520"/>
    <n v="63280"/>
    <s v="Rep-18"/>
    <d v="2024-04-23T00:00:00"/>
  </r>
  <r>
    <s v="ORD073"/>
    <x v="3"/>
    <x v="1"/>
    <n v="3"/>
    <n v="3864"/>
    <n v="11592"/>
    <s v="Rep-12"/>
    <d v="2024-04-21T00:00:00"/>
  </r>
  <r>
    <s v="ORD074"/>
    <x v="6"/>
    <x v="1"/>
    <n v="44"/>
    <n v="12696"/>
    <n v="558624"/>
    <s v="Rep-12"/>
    <d v="2024-05-13T00:00:00"/>
  </r>
  <r>
    <s v="ORD075"/>
    <x v="1"/>
    <x v="4"/>
    <n v="25"/>
    <n v="3253"/>
    <n v="81325"/>
    <s v="Rep-19"/>
    <d v="2024-04-01T00:00:00"/>
  </r>
  <r>
    <s v="ORD076"/>
    <x v="1"/>
    <x v="6"/>
    <n v="14"/>
    <n v="1687"/>
    <n v="23618"/>
    <s v="Rep-1"/>
    <d v="2024-06-07T00:00:00"/>
  </r>
  <r>
    <s v="ORD077"/>
    <x v="6"/>
    <x v="1"/>
    <n v="40"/>
    <n v="5994"/>
    <n v="239760"/>
    <s v="Rep-8"/>
    <d v="2024-02-16T00:00:00"/>
  </r>
  <r>
    <s v="ORD078"/>
    <x v="1"/>
    <x v="0"/>
    <n v="49"/>
    <n v="14831"/>
    <n v="726719"/>
    <s v="Rep-20"/>
    <d v="2024-04-28T00:00:00"/>
  </r>
  <r>
    <s v="ORD079"/>
    <x v="5"/>
    <x v="6"/>
    <n v="11"/>
    <n v="8082"/>
    <n v="88902"/>
    <s v="Rep-17"/>
    <d v="2024-03-24T00:00:00"/>
  </r>
  <r>
    <s v="ORD080"/>
    <x v="6"/>
    <x v="1"/>
    <n v="47"/>
    <n v="22132"/>
    <n v="1040204"/>
    <s v="Rep-3"/>
    <d v="2024-06-14T00:00:00"/>
  </r>
  <r>
    <s v="ORD081"/>
    <x v="4"/>
    <x v="0"/>
    <n v="47"/>
    <n v="6658"/>
    <n v="312926"/>
    <s v="Rep-11"/>
    <d v="2024-05-22T00:00:00"/>
  </r>
  <r>
    <s v="ORD082"/>
    <x v="5"/>
    <x v="6"/>
    <n v="45"/>
    <n v="1238"/>
    <n v="55710"/>
    <s v="Rep-16"/>
    <d v="2024-06-13T00:00:00"/>
  </r>
  <r>
    <s v="ORD083"/>
    <x v="6"/>
    <x v="4"/>
    <n v="47"/>
    <n v="14799"/>
    <n v="695553"/>
    <s v="Rep-1"/>
    <d v="2024-02-09T00:00:00"/>
  </r>
  <r>
    <s v="ORD084"/>
    <x v="2"/>
    <x v="3"/>
    <n v="22"/>
    <n v="22023"/>
    <n v="484506"/>
    <s v="Rep-5"/>
    <d v="2024-01-27T00:00:00"/>
  </r>
  <r>
    <s v="ORD085"/>
    <x v="4"/>
    <x v="3"/>
    <n v="31"/>
    <n v="3210"/>
    <n v="99510"/>
    <s v="Rep-8"/>
    <d v="2024-01-05T00:00:00"/>
  </r>
  <r>
    <s v="ORD086"/>
    <x v="0"/>
    <x v="0"/>
    <n v="25"/>
    <n v="1580"/>
    <n v="39500"/>
    <s v="Rep-15"/>
    <d v="2024-02-21T00:00:00"/>
  </r>
  <r>
    <s v="ORD087"/>
    <x v="0"/>
    <x v="5"/>
    <n v="37"/>
    <n v="17564"/>
    <n v="649868"/>
    <s v="Rep-10"/>
    <d v="2024-02-08T00:00:00"/>
  </r>
  <r>
    <s v="ORD088"/>
    <x v="1"/>
    <x v="5"/>
    <n v="44"/>
    <n v="14178"/>
    <n v="623832"/>
    <s v="Rep-14"/>
    <d v="2024-04-08T00:00:00"/>
  </r>
  <r>
    <s v="ORD089"/>
    <x v="2"/>
    <x v="6"/>
    <n v="20"/>
    <n v="23664"/>
    <n v="473280"/>
    <s v="Rep-10"/>
    <d v="2024-03-11T00:00:00"/>
  </r>
  <r>
    <s v="ORD090"/>
    <x v="6"/>
    <x v="4"/>
    <n v="23"/>
    <n v="7894"/>
    <n v="181562"/>
    <s v="Rep-16"/>
    <d v="2024-04-01T00:00:00"/>
  </r>
  <r>
    <s v="ORD091"/>
    <x v="2"/>
    <x v="6"/>
    <n v="47"/>
    <n v="6357"/>
    <n v="298779"/>
    <s v="Rep-20"/>
    <d v="2024-06-06T00:00:00"/>
  </r>
  <r>
    <s v="ORD092"/>
    <x v="5"/>
    <x v="0"/>
    <n v="16"/>
    <n v="21708"/>
    <n v="347328"/>
    <s v="Rep-6"/>
    <d v="2024-05-05T00:00:00"/>
  </r>
  <r>
    <s v="ORD093"/>
    <x v="2"/>
    <x v="6"/>
    <n v="28"/>
    <n v="8137"/>
    <n v="227836"/>
    <s v="Rep-16"/>
    <d v="2024-06-21T00:00:00"/>
  </r>
  <r>
    <s v="ORD094"/>
    <x v="2"/>
    <x v="1"/>
    <n v="9"/>
    <n v="9266"/>
    <n v="83394"/>
    <s v="Rep-7"/>
    <d v="2024-06-08T00:00:00"/>
  </r>
  <r>
    <s v="ORD095"/>
    <x v="4"/>
    <x v="5"/>
    <n v="16"/>
    <n v="4337"/>
    <n v="69392"/>
    <s v="Rep-6"/>
    <d v="2024-04-16T00:00:00"/>
  </r>
  <r>
    <s v="ORD096"/>
    <x v="4"/>
    <x v="6"/>
    <n v="11"/>
    <n v="22848"/>
    <n v="251328"/>
    <s v="Rep-1"/>
    <d v="2024-05-06T00:00:00"/>
  </r>
  <r>
    <s v="ORD097"/>
    <x v="2"/>
    <x v="2"/>
    <n v="17"/>
    <n v="19554"/>
    <n v="332418"/>
    <s v="Rep-7"/>
    <d v="2024-04-11T00:00:00"/>
  </r>
  <r>
    <s v="ORD098"/>
    <x v="5"/>
    <x v="2"/>
    <n v="41"/>
    <n v="16712"/>
    <n v="685192"/>
    <s v="Rep-19"/>
    <d v="2024-01-04T00:00:00"/>
  </r>
  <r>
    <s v="ORD099"/>
    <x v="2"/>
    <x v="4"/>
    <n v="14"/>
    <n v="17088"/>
    <n v="239232"/>
    <s v="Rep-10"/>
    <d v="2024-02-26T00:00:00"/>
  </r>
  <r>
    <s v="ORD100"/>
    <x v="0"/>
    <x v="3"/>
    <n v="43"/>
    <n v="22432"/>
    <n v="964576"/>
    <s v="Rep-9"/>
    <d v="2024-05-1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2138DC-992F-4D68-B7FA-D65C676DDC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8:C126" firstHeaderRow="1" firstDataRow="1" firstDataCol="1"/>
  <pivotFields count="8">
    <pivotField showAll="0"/>
    <pivotField axis="axisRow" showAll="0">
      <items count="8">
        <item x="3"/>
        <item x="1"/>
        <item x="2"/>
        <item x="0"/>
        <item x="4"/>
        <item x="5"/>
        <item x="6"/>
        <item t="default"/>
      </items>
    </pivotField>
    <pivotField showAll="0"/>
    <pivotField showAll="0"/>
    <pivotField showAll="0"/>
    <pivotField dataField="1" showAll="0"/>
    <pivotField showAll="0"/>
    <pivotField numFmtId="14" showAll="0"/>
  </pivotFields>
  <rowFields count="1">
    <field x="1"/>
  </rowFields>
  <rowItems count="8">
    <i>
      <x/>
    </i>
    <i>
      <x v="1"/>
    </i>
    <i>
      <x v="2"/>
    </i>
    <i>
      <x v="3"/>
    </i>
    <i>
      <x v="4"/>
    </i>
    <i>
      <x v="5"/>
    </i>
    <i>
      <x v="6"/>
    </i>
    <i t="grand">
      <x/>
    </i>
  </rowItems>
  <colItems count="1">
    <i/>
  </colItems>
  <dataFields count="1">
    <dataField name="Sum of Revenue" fld="5" baseField="0" baseItem="0"/>
  </dataFields>
  <formats count="2">
    <format dxfId="7">
      <pivotArea field="1" type="button" dataOnly="0" labelOnly="1" outline="0" axis="axisRow"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8FE542-6FDF-46F5-8D07-D4148D7441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8:C176" firstHeaderRow="1" firstDataRow="1" firstDataCol="1"/>
  <pivotFields count="8">
    <pivotField showAll="0"/>
    <pivotField axis="axisRow" showAll="0">
      <items count="8">
        <item x="3"/>
        <item x="1"/>
        <item x="2"/>
        <item x="0"/>
        <item x="4"/>
        <item x="5"/>
        <item x="6"/>
        <item t="default"/>
      </items>
    </pivotField>
    <pivotField showAll="0"/>
    <pivotField showAll="0"/>
    <pivotField showAll="0"/>
    <pivotField dataField="1" showAll="0"/>
    <pivotField showAll="0"/>
    <pivotField numFmtId="14" showAll="0"/>
  </pivotFields>
  <rowFields count="1">
    <field x="1"/>
  </rowFields>
  <rowItems count="8">
    <i>
      <x/>
    </i>
    <i>
      <x v="1"/>
    </i>
    <i>
      <x v="2"/>
    </i>
    <i>
      <x v="3"/>
    </i>
    <i>
      <x v="4"/>
    </i>
    <i>
      <x v="5"/>
    </i>
    <i>
      <x v="6"/>
    </i>
    <i t="grand">
      <x/>
    </i>
  </rowItems>
  <colItems count="1">
    <i/>
  </colItems>
  <dataFields count="1">
    <dataField name="Sum of Revenue" fld="5" baseField="0" baseItem="0"/>
  </dataFields>
  <formats count="3">
    <format dxfId="10">
      <pivotArea dataOnly="0" labelOnly="1" fieldPosition="0">
        <references count="1">
          <reference field="1" count="1">
            <x v="1"/>
          </reference>
        </references>
      </pivotArea>
    </format>
    <format dxfId="9">
      <pivotArea field="1" type="button" dataOnly="0" labelOnly="1" outline="0" axis="axisRow"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B7370C-F4C1-4547-AABE-DD47D28C00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31:C139" firstHeaderRow="1" firstDataRow="1" firstDataCol="1"/>
  <pivotFields count="8">
    <pivotField showAll="0"/>
    <pivotField showAll="0"/>
    <pivotField axis="axisRow" showAll="0">
      <items count="8">
        <item x="6"/>
        <item x="4"/>
        <item x="5"/>
        <item x="2"/>
        <item x="0"/>
        <item x="3"/>
        <item x="1"/>
        <item t="default"/>
      </items>
    </pivotField>
    <pivotField showAll="0"/>
    <pivotField showAll="0"/>
    <pivotField dataField="1" showAll="0"/>
    <pivotField showAll="0"/>
    <pivotField numFmtId="14" showAll="0"/>
  </pivotFields>
  <rowFields count="1">
    <field x="2"/>
  </rowFields>
  <rowItems count="8">
    <i>
      <x/>
    </i>
    <i>
      <x v="1"/>
    </i>
    <i>
      <x v="2"/>
    </i>
    <i>
      <x v="3"/>
    </i>
    <i>
      <x v="4"/>
    </i>
    <i>
      <x v="5"/>
    </i>
    <i>
      <x v="6"/>
    </i>
    <i t="grand">
      <x/>
    </i>
  </rowItems>
  <colItems count="1">
    <i/>
  </colItems>
  <dataFields count="1">
    <dataField name="Sum of Revenue" fld="5" baseField="0" baseItem="0"/>
  </dataFields>
  <formats count="2">
    <format dxfId="12">
      <pivotArea field="2" type="button" dataOnly="0" labelOnly="1" outline="0" axis="axisRow" fieldPosition="0"/>
    </format>
    <format dxfId="1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73F821-42D1-48D0-8DD8-137B4726E6DA}" autoFormatId="16" applyNumberFormats="0" applyBorderFormats="0" applyFontFormats="0" applyPatternFormats="0" applyAlignmentFormats="0" applyWidthHeightFormats="0">
  <queryTableRefresh nextId="12">
    <queryTableFields count="9">
      <queryTableField id="1" name="Order_ID" tableColumnId="1"/>
      <queryTableField id="2" name="Product" tableColumnId="2"/>
      <queryTableField id="3" name="Region" tableColumnId="3"/>
      <queryTableField id="4" name="Units_Sold" tableColumnId="4"/>
      <queryTableField id="5" name="Unit_Price" tableColumnId="5"/>
      <queryTableField id="6" name="Revenue" tableColumnId="6"/>
      <queryTableField id="7" name="Sales_Rep" tableColumnId="7"/>
      <queryTableField id="10" dataBound="0" tableColumnId="10"/>
      <queryTableField id="8" name="Order_Dat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8E6C13-B4CF-44B8-A794-09E453A3BBC9}" name="Week_2_Sales_Data" displayName="Week_2_Sales_Data" ref="A14:I114" tableType="queryTable" totalsRowShown="0">
  <autoFilter ref="A14:I114" xr:uid="{B28E6C13-B4CF-44B8-A794-09E453A3BBC9}"/>
  <tableColumns count="9">
    <tableColumn id="1" xr3:uid="{24214BD4-55C7-4EE7-A0AC-2390D165A84F}" uniqueName="1" name="Order_ID" queryTableFieldId="1" dataDxfId="5"/>
    <tableColumn id="2" xr3:uid="{88BA127E-AA76-4B75-8CA0-20FD3A456158}" uniqueName="2" name="Product" queryTableFieldId="2" dataDxfId="4"/>
    <tableColumn id="3" xr3:uid="{8F1AFB8B-79A9-4192-9F50-5728FBF42AA9}" uniqueName="3" name="Region" queryTableFieldId="3" dataDxfId="3"/>
    <tableColumn id="4" xr3:uid="{C7398082-4D9B-41B2-BCEB-72C0CD8271FD}" uniqueName="4" name="Units_Sold" queryTableFieldId="4"/>
    <tableColumn id="5" xr3:uid="{D83DFDD4-7113-404B-B19B-4C8BB5C29CF9}" uniqueName="5" name="Unit_Price" queryTableFieldId="5"/>
    <tableColumn id="6" xr3:uid="{A0CA28B2-294E-4A1F-8827-BD94EE963659}" uniqueName="6" name="Revenue" queryTableFieldId="6"/>
    <tableColumn id="7" xr3:uid="{696A4582-7428-4269-8F87-C1178F054EAF}" uniqueName="7" name="Sales_Rep" queryTableFieldId="7" dataDxfId="2"/>
    <tableColumn id="10" xr3:uid="{908DA8CB-6D98-4F1A-A9AA-E7F00BA8CA79}" uniqueName="10" name="Month" queryTableFieldId="10" dataDxfId="1">
      <calculatedColumnFormula>TEXT(5/18/2024,"mmmm")</calculatedColumnFormula>
    </tableColumn>
    <tableColumn id="8" xr3:uid="{A7425F48-5762-47FE-A29B-5D38BE534D26}" uniqueName="8" name="Order_Date" queryTableFieldId="8"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hyperlink" Target="https://colab.research.google.com/drive/1qswJMdBv-9lZFN6YB30ddFVGf8mr2aPr?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0E2DD-FFB9-4972-A853-5BEAFF8B629E}">
  <dimension ref="A14:I216"/>
  <sheetViews>
    <sheetView tabSelected="1" topLeftCell="A169" zoomScale="112" zoomScaleNormal="112" workbookViewId="0">
      <selection activeCell="E177" sqref="E177"/>
    </sheetView>
  </sheetViews>
  <sheetFormatPr defaultRowHeight="15" x14ac:dyDescent="0.25"/>
  <cols>
    <col min="1" max="1" width="11.28515625" bestFit="1" customWidth="1"/>
    <col min="2" max="2" width="19.140625" bestFit="1" customWidth="1"/>
    <col min="3" max="3" width="20.28515625" bestFit="1" customWidth="1"/>
    <col min="4" max="4" width="12.85546875" bestFit="1" customWidth="1"/>
    <col min="5" max="5" width="12.42578125" bestFit="1" customWidth="1"/>
    <col min="6" max="6" width="11.28515625" bestFit="1" customWidth="1"/>
    <col min="7" max="7" width="12.5703125" bestFit="1" customWidth="1"/>
    <col min="8" max="8" width="13.5703125" bestFit="1" customWidth="1"/>
    <col min="9" max="9" width="11.5703125" bestFit="1" customWidth="1"/>
    <col min="12" max="12" width="17.85546875" bestFit="1" customWidth="1"/>
    <col min="13" max="13" width="15.85546875" bestFit="1" customWidth="1"/>
  </cols>
  <sheetData>
    <row r="14" spans="1:9" x14ac:dyDescent="0.25">
      <c r="A14" t="s">
        <v>0</v>
      </c>
      <c r="B14" t="s">
        <v>1</v>
      </c>
      <c r="C14" t="s">
        <v>2</v>
      </c>
      <c r="D14" t="s">
        <v>3</v>
      </c>
      <c r="E14" t="s">
        <v>4</v>
      </c>
      <c r="F14" t="s">
        <v>5</v>
      </c>
      <c r="G14" t="s">
        <v>6</v>
      </c>
      <c r="H14" t="s">
        <v>145</v>
      </c>
      <c r="I14" t="s">
        <v>7</v>
      </c>
    </row>
    <row r="15" spans="1:9" x14ac:dyDescent="0.25">
      <c r="A15" t="s">
        <v>8</v>
      </c>
      <c r="B15" t="s">
        <v>9</v>
      </c>
      <c r="C15" t="s">
        <v>10</v>
      </c>
      <c r="D15">
        <v>45</v>
      </c>
      <c r="E15">
        <v>2985</v>
      </c>
      <c r="F15">
        <v>134325</v>
      </c>
      <c r="G15" t="s">
        <v>11</v>
      </c>
      <c r="H15" s="4" t="s">
        <v>146</v>
      </c>
      <c r="I15" s="1">
        <v>45379</v>
      </c>
    </row>
    <row r="16" spans="1:9" x14ac:dyDescent="0.25">
      <c r="A16" t="s">
        <v>12</v>
      </c>
      <c r="B16" t="s">
        <v>13</v>
      </c>
      <c r="C16" t="s">
        <v>14</v>
      </c>
      <c r="D16">
        <v>16</v>
      </c>
      <c r="E16">
        <v>15076</v>
      </c>
      <c r="F16">
        <v>241216</v>
      </c>
      <c r="G16" t="s">
        <v>15</v>
      </c>
      <c r="H16" s="4" t="s">
        <v>148</v>
      </c>
      <c r="I16" s="3">
        <v>45393</v>
      </c>
    </row>
    <row r="17" spans="1:9" x14ac:dyDescent="0.25">
      <c r="A17" t="s">
        <v>16</v>
      </c>
      <c r="B17" t="s">
        <v>17</v>
      </c>
      <c r="C17" t="s">
        <v>14</v>
      </c>
      <c r="D17">
        <v>45</v>
      </c>
      <c r="E17">
        <v>14860</v>
      </c>
      <c r="F17">
        <v>668700</v>
      </c>
      <c r="G17" t="s">
        <v>18</v>
      </c>
      <c r="H17" s="4" t="s">
        <v>149</v>
      </c>
      <c r="I17" s="1">
        <v>45430</v>
      </c>
    </row>
    <row r="18" spans="1:9" x14ac:dyDescent="0.25">
      <c r="A18" t="s">
        <v>19</v>
      </c>
      <c r="B18" t="s">
        <v>20</v>
      </c>
      <c r="C18" t="s">
        <v>21</v>
      </c>
      <c r="D18">
        <v>21</v>
      </c>
      <c r="E18">
        <v>16237</v>
      </c>
      <c r="F18">
        <v>340977</v>
      </c>
      <c r="G18" t="s">
        <v>22</v>
      </c>
      <c r="H18" s="4" t="s">
        <v>149</v>
      </c>
      <c r="I18" s="1">
        <v>45428</v>
      </c>
    </row>
    <row r="19" spans="1:9" x14ac:dyDescent="0.25">
      <c r="A19" t="s">
        <v>23</v>
      </c>
      <c r="B19" t="s">
        <v>24</v>
      </c>
      <c r="C19" t="s">
        <v>14</v>
      </c>
      <c r="D19">
        <v>41</v>
      </c>
      <c r="E19">
        <v>9420</v>
      </c>
      <c r="F19">
        <v>386220</v>
      </c>
      <c r="G19" t="s">
        <v>25</v>
      </c>
      <c r="H19" s="4" t="s">
        <v>147</v>
      </c>
      <c r="I19" s="1">
        <v>45343</v>
      </c>
    </row>
    <row r="20" spans="1:9" x14ac:dyDescent="0.25">
      <c r="A20" t="s">
        <v>26</v>
      </c>
      <c r="B20" t="s">
        <v>27</v>
      </c>
      <c r="C20" t="s">
        <v>28</v>
      </c>
      <c r="D20">
        <v>34</v>
      </c>
      <c r="E20">
        <v>9745</v>
      </c>
      <c r="F20">
        <v>331330</v>
      </c>
      <c r="G20" t="s">
        <v>29</v>
      </c>
      <c r="H20" s="4" t="s">
        <v>146</v>
      </c>
      <c r="I20" s="1">
        <v>45380</v>
      </c>
    </row>
    <row r="21" spans="1:9" x14ac:dyDescent="0.25">
      <c r="A21" t="s">
        <v>30</v>
      </c>
      <c r="B21" t="s">
        <v>31</v>
      </c>
      <c r="C21" t="s">
        <v>32</v>
      </c>
      <c r="D21">
        <v>5</v>
      </c>
      <c r="E21">
        <v>17173</v>
      </c>
      <c r="F21">
        <v>85865</v>
      </c>
      <c r="G21" t="s">
        <v>33</v>
      </c>
      <c r="H21" s="4" t="s">
        <v>146</v>
      </c>
      <c r="I21" s="1">
        <v>45378</v>
      </c>
    </row>
    <row r="22" spans="1:9" x14ac:dyDescent="0.25">
      <c r="A22" t="s">
        <v>34</v>
      </c>
      <c r="B22" t="s">
        <v>27</v>
      </c>
      <c r="C22" t="s">
        <v>35</v>
      </c>
      <c r="D22">
        <v>20</v>
      </c>
      <c r="E22">
        <v>1392</v>
      </c>
      <c r="F22">
        <v>27840</v>
      </c>
      <c r="G22" t="s">
        <v>36</v>
      </c>
      <c r="H22" s="4" t="str">
        <f t="shared" ref="H22:H45" si="0">TEXT(5/18/2024,"mmmm")</f>
        <v>January</v>
      </c>
      <c r="I22" s="1">
        <v>45308</v>
      </c>
    </row>
    <row r="23" spans="1:9" x14ac:dyDescent="0.25">
      <c r="A23" t="s">
        <v>37</v>
      </c>
      <c r="B23" t="s">
        <v>13</v>
      </c>
      <c r="C23" t="s">
        <v>38</v>
      </c>
      <c r="D23">
        <v>30</v>
      </c>
      <c r="E23">
        <v>10614</v>
      </c>
      <c r="F23">
        <v>318420</v>
      </c>
      <c r="G23" t="s">
        <v>39</v>
      </c>
      <c r="H23" s="4" t="s">
        <v>149</v>
      </c>
      <c r="I23" s="1">
        <v>45417</v>
      </c>
    </row>
    <row r="24" spans="1:9" x14ac:dyDescent="0.25">
      <c r="A24" t="s">
        <v>40</v>
      </c>
      <c r="B24" t="s">
        <v>27</v>
      </c>
      <c r="C24" t="s">
        <v>10</v>
      </c>
      <c r="D24">
        <v>39</v>
      </c>
      <c r="E24">
        <v>20114</v>
      </c>
      <c r="F24">
        <v>784446</v>
      </c>
      <c r="G24" t="s">
        <v>41</v>
      </c>
      <c r="H24" s="4" t="str">
        <f t="shared" si="0"/>
        <v>January</v>
      </c>
      <c r="I24" s="1">
        <v>45308</v>
      </c>
    </row>
    <row r="25" spans="1:9" x14ac:dyDescent="0.25">
      <c r="A25" t="s">
        <v>42</v>
      </c>
      <c r="B25" t="s">
        <v>9</v>
      </c>
      <c r="C25" t="s">
        <v>35</v>
      </c>
      <c r="D25">
        <v>7</v>
      </c>
      <c r="E25">
        <v>11665</v>
      </c>
      <c r="F25">
        <v>81655</v>
      </c>
      <c r="G25" t="s">
        <v>43</v>
      </c>
      <c r="H25" s="4" t="s">
        <v>149</v>
      </c>
      <c r="I25" s="1">
        <v>45435</v>
      </c>
    </row>
    <row r="26" spans="1:9" x14ac:dyDescent="0.25">
      <c r="A26" t="s">
        <v>44</v>
      </c>
      <c r="B26" t="s">
        <v>27</v>
      </c>
      <c r="C26" t="s">
        <v>21</v>
      </c>
      <c r="D26">
        <v>16</v>
      </c>
      <c r="E26">
        <v>24838</v>
      </c>
      <c r="F26">
        <v>397408</v>
      </c>
      <c r="G26" t="s">
        <v>41</v>
      </c>
      <c r="H26" s="4" t="s">
        <v>150</v>
      </c>
      <c r="I26" s="1">
        <v>45469</v>
      </c>
    </row>
    <row r="27" spans="1:9" x14ac:dyDescent="0.25">
      <c r="A27" t="s">
        <v>45</v>
      </c>
      <c r="B27" t="s">
        <v>9</v>
      </c>
      <c r="C27" t="s">
        <v>14</v>
      </c>
      <c r="D27">
        <v>37</v>
      </c>
      <c r="E27">
        <v>14447</v>
      </c>
      <c r="F27">
        <v>534539</v>
      </c>
      <c r="G27" t="s">
        <v>46</v>
      </c>
      <c r="H27" s="4" t="str">
        <f t="shared" si="0"/>
        <v>January</v>
      </c>
      <c r="I27" s="1">
        <v>45316</v>
      </c>
    </row>
    <row r="28" spans="1:9" x14ac:dyDescent="0.25">
      <c r="A28" t="s">
        <v>47</v>
      </c>
      <c r="B28" t="s">
        <v>24</v>
      </c>
      <c r="C28" t="s">
        <v>14</v>
      </c>
      <c r="D28">
        <v>46</v>
      </c>
      <c r="E28">
        <v>18624</v>
      </c>
      <c r="F28">
        <v>856704</v>
      </c>
      <c r="G28" t="s">
        <v>48</v>
      </c>
      <c r="H28" s="4" t="s">
        <v>150</v>
      </c>
      <c r="I28" s="1">
        <v>45448</v>
      </c>
    </row>
    <row r="29" spans="1:9" x14ac:dyDescent="0.25">
      <c r="A29" t="s">
        <v>49</v>
      </c>
      <c r="B29" t="s">
        <v>27</v>
      </c>
      <c r="C29" t="s">
        <v>14</v>
      </c>
      <c r="D29">
        <v>3</v>
      </c>
      <c r="E29">
        <v>14424</v>
      </c>
      <c r="F29">
        <v>43272</v>
      </c>
      <c r="G29" t="s">
        <v>50</v>
      </c>
      <c r="H29" s="4" t="s">
        <v>149</v>
      </c>
      <c r="I29" s="1">
        <v>45441</v>
      </c>
    </row>
    <row r="30" spans="1:9" x14ac:dyDescent="0.25">
      <c r="A30" t="s">
        <v>51</v>
      </c>
      <c r="B30" t="s">
        <v>27</v>
      </c>
      <c r="C30" t="s">
        <v>35</v>
      </c>
      <c r="D30">
        <v>37</v>
      </c>
      <c r="E30">
        <v>10416</v>
      </c>
      <c r="F30">
        <v>385392</v>
      </c>
      <c r="G30" t="s">
        <v>48</v>
      </c>
      <c r="H30" s="4" t="s">
        <v>148</v>
      </c>
      <c r="I30" s="1">
        <v>45407</v>
      </c>
    </row>
    <row r="31" spans="1:9" x14ac:dyDescent="0.25">
      <c r="A31" t="s">
        <v>52</v>
      </c>
      <c r="B31" t="s">
        <v>9</v>
      </c>
      <c r="C31" t="s">
        <v>38</v>
      </c>
      <c r="D31">
        <v>3</v>
      </c>
      <c r="E31">
        <v>7002</v>
      </c>
      <c r="F31">
        <v>21006</v>
      </c>
      <c r="G31" t="s">
        <v>43</v>
      </c>
      <c r="H31" s="4" t="str">
        <f t="shared" si="0"/>
        <v>January</v>
      </c>
      <c r="I31" s="1">
        <v>45306</v>
      </c>
    </row>
    <row r="32" spans="1:9" x14ac:dyDescent="0.25">
      <c r="A32" t="s">
        <v>53</v>
      </c>
      <c r="B32" t="s">
        <v>9</v>
      </c>
      <c r="C32" t="s">
        <v>28</v>
      </c>
      <c r="D32">
        <v>20</v>
      </c>
      <c r="E32">
        <v>16955</v>
      </c>
      <c r="F32">
        <v>339100</v>
      </c>
      <c r="G32" t="s">
        <v>41</v>
      </c>
      <c r="H32" s="4" t="s">
        <v>149</v>
      </c>
      <c r="I32" s="1">
        <v>45442</v>
      </c>
    </row>
    <row r="33" spans="1:9" x14ac:dyDescent="0.25">
      <c r="A33" t="s">
        <v>54</v>
      </c>
      <c r="B33" t="s">
        <v>27</v>
      </c>
      <c r="C33" t="s">
        <v>14</v>
      </c>
      <c r="D33">
        <v>20</v>
      </c>
      <c r="E33">
        <v>13113</v>
      </c>
      <c r="F33">
        <v>262260</v>
      </c>
      <c r="G33" t="s">
        <v>36</v>
      </c>
      <c r="H33" s="4" t="s">
        <v>146</v>
      </c>
      <c r="I33" s="1">
        <v>45376</v>
      </c>
    </row>
    <row r="34" spans="1:9" x14ac:dyDescent="0.25">
      <c r="A34" t="s">
        <v>55</v>
      </c>
      <c r="B34" t="s">
        <v>27</v>
      </c>
      <c r="C34" t="s">
        <v>35</v>
      </c>
      <c r="D34">
        <v>39</v>
      </c>
      <c r="E34">
        <v>5363</v>
      </c>
      <c r="F34">
        <v>209157</v>
      </c>
      <c r="G34" t="s">
        <v>56</v>
      </c>
      <c r="H34" s="4" t="s">
        <v>146</v>
      </c>
      <c r="I34" s="1">
        <v>45359</v>
      </c>
    </row>
    <row r="35" spans="1:9" x14ac:dyDescent="0.25">
      <c r="A35" t="s">
        <v>57</v>
      </c>
      <c r="B35" t="s">
        <v>9</v>
      </c>
      <c r="C35" t="s">
        <v>14</v>
      </c>
      <c r="D35">
        <v>35</v>
      </c>
      <c r="E35">
        <v>10579</v>
      </c>
      <c r="F35">
        <v>370265</v>
      </c>
      <c r="G35" t="s">
        <v>33</v>
      </c>
      <c r="H35" s="4" t="s">
        <v>146</v>
      </c>
      <c r="I35" s="1">
        <v>45365</v>
      </c>
    </row>
    <row r="36" spans="1:9" x14ac:dyDescent="0.25">
      <c r="A36" t="s">
        <v>58</v>
      </c>
      <c r="B36" t="s">
        <v>13</v>
      </c>
      <c r="C36" t="s">
        <v>21</v>
      </c>
      <c r="D36">
        <v>43</v>
      </c>
      <c r="E36">
        <v>7719</v>
      </c>
      <c r="F36">
        <v>331917</v>
      </c>
      <c r="G36" t="s">
        <v>39</v>
      </c>
      <c r="H36" s="4" t="s">
        <v>149</v>
      </c>
      <c r="I36" s="1">
        <v>45433</v>
      </c>
    </row>
    <row r="37" spans="1:9" x14ac:dyDescent="0.25">
      <c r="A37" t="s">
        <v>59</v>
      </c>
      <c r="B37" t="s">
        <v>24</v>
      </c>
      <c r="C37" t="s">
        <v>10</v>
      </c>
      <c r="D37">
        <v>25</v>
      </c>
      <c r="E37">
        <v>927</v>
      </c>
      <c r="F37">
        <v>23175</v>
      </c>
      <c r="G37" t="s">
        <v>39</v>
      </c>
      <c r="H37" s="4" t="s">
        <v>150</v>
      </c>
      <c r="I37" s="1">
        <v>45467</v>
      </c>
    </row>
    <row r="38" spans="1:9" x14ac:dyDescent="0.25">
      <c r="A38" t="s">
        <v>60</v>
      </c>
      <c r="B38" t="s">
        <v>31</v>
      </c>
      <c r="C38" t="s">
        <v>35</v>
      </c>
      <c r="D38">
        <v>18</v>
      </c>
      <c r="E38">
        <v>11889</v>
      </c>
      <c r="F38">
        <v>214002</v>
      </c>
      <c r="G38" t="s">
        <v>29</v>
      </c>
      <c r="H38" s="4" t="str">
        <f t="shared" si="0"/>
        <v>January</v>
      </c>
      <c r="I38" s="1">
        <v>45321</v>
      </c>
    </row>
    <row r="39" spans="1:9" x14ac:dyDescent="0.25">
      <c r="A39" t="s">
        <v>61</v>
      </c>
      <c r="B39" t="s">
        <v>31</v>
      </c>
      <c r="C39" t="s">
        <v>38</v>
      </c>
      <c r="D39">
        <v>23</v>
      </c>
      <c r="E39">
        <v>10409</v>
      </c>
      <c r="F39">
        <v>239407</v>
      </c>
      <c r="G39" t="s">
        <v>62</v>
      </c>
      <c r="H39" s="4" t="str">
        <f t="shared" si="0"/>
        <v>January</v>
      </c>
      <c r="I39" s="1">
        <v>45314</v>
      </c>
    </row>
    <row r="40" spans="1:9" x14ac:dyDescent="0.25">
      <c r="A40" t="s">
        <v>63</v>
      </c>
      <c r="B40" t="s">
        <v>20</v>
      </c>
      <c r="C40" t="s">
        <v>21</v>
      </c>
      <c r="D40">
        <v>13</v>
      </c>
      <c r="E40">
        <v>11876</v>
      </c>
      <c r="F40">
        <v>154388</v>
      </c>
      <c r="G40" t="s">
        <v>46</v>
      </c>
      <c r="H40" s="4" t="str">
        <f t="shared" si="0"/>
        <v>January</v>
      </c>
      <c r="I40" s="1">
        <v>45300</v>
      </c>
    </row>
    <row r="41" spans="1:9" x14ac:dyDescent="0.25">
      <c r="A41" t="s">
        <v>64</v>
      </c>
      <c r="B41" t="s">
        <v>13</v>
      </c>
      <c r="C41" t="s">
        <v>28</v>
      </c>
      <c r="D41">
        <v>42</v>
      </c>
      <c r="E41">
        <v>20811</v>
      </c>
      <c r="F41">
        <v>874062</v>
      </c>
      <c r="G41" t="s">
        <v>11</v>
      </c>
      <c r="H41" s="4" t="s">
        <v>146</v>
      </c>
      <c r="I41" s="1">
        <v>45379</v>
      </c>
    </row>
    <row r="42" spans="1:9" x14ac:dyDescent="0.25">
      <c r="A42" t="s">
        <v>65</v>
      </c>
      <c r="B42" t="s">
        <v>17</v>
      </c>
      <c r="C42" t="s">
        <v>10</v>
      </c>
      <c r="D42">
        <v>14</v>
      </c>
      <c r="E42">
        <v>19935</v>
      </c>
      <c r="F42">
        <v>279090</v>
      </c>
      <c r="G42" t="s">
        <v>66</v>
      </c>
      <c r="H42" s="4" t="s">
        <v>146</v>
      </c>
      <c r="I42" s="1">
        <v>45361</v>
      </c>
    </row>
    <row r="43" spans="1:9" x14ac:dyDescent="0.25">
      <c r="A43" t="s">
        <v>67</v>
      </c>
      <c r="B43" t="s">
        <v>13</v>
      </c>
      <c r="C43" t="s">
        <v>35</v>
      </c>
      <c r="D43">
        <v>37</v>
      </c>
      <c r="E43">
        <v>21001</v>
      </c>
      <c r="F43">
        <v>777037</v>
      </c>
      <c r="G43" t="s">
        <v>33</v>
      </c>
      <c r="H43" s="4" t="s">
        <v>149</v>
      </c>
      <c r="I43" s="1">
        <v>45411</v>
      </c>
    </row>
    <row r="44" spans="1:9" x14ac:dyDescent="0.25">
      <c r="A44" t="s">
        <v>68</v>
      </c>
      <c r="B44" t="s">
        <v>27</v>
      </c>
      <c r="C44" t="s">
        <v>21</v>
      </c>
      <c r="D44">
        <v>20</v>
      </c>
      <c r="E44">
        <v>10158</v>
      </c>
      <c r="F44">
        <v>203160</v>
      </c>
      <c r="G44" t="s">
        <v>33</v>
      </c>
      <c r="H44" s="4" t="s">
        <v>150</v>
      </c>
      <c r="I44" s="1">
        <v>45455</v>
      </c>
    </row>
    <row r="45" spans="1:9" x14ac:dyDescent="0.25">
      <c r="A45" t="s">
        <v>69</v>
      </c>
      <c r="B45" t="s">
        <v>27</v>
      </c>
      <c r="C45" t="s">
        <v>14</v>
      </c>
      <c r="D45">
        <v>16</v>
      </c>
      <c r="E45">
        <v>24995</v>
      </c>
      <c r="F45">
        <v>399920</v>
      </c>
      <c r="G45" t="s">
        <v>41</v>
      </c>
      <c r="H45" s="4" t="str">
        <f t="shared" si="0"/>
        <v>January</v>
      </c>
      <c r="I45" s="1">
        <v>45307</v>
      </c>
    </row>
    <row r="46" spans="1:9" x14ac:dyDescent="0.25">
      <c r="A46" t="s">
        <v>70</v>
      </c>
      <c r="B46" t="s">
        <v>20</v>
      </c>
      <c r="C46" t="s">
        <v>28</v>
      </c>
      <c r="D46">
        <v>36</v>
      </c>
      <c r="E46">
        <v>20291</v>
      </c>
      <c r="F46">
        <v>730476</v>
      </c>
      <c r="G46" t="s">
        <v>29</v>
      </c>
      <c r="H46" s="4" t="s">
        <v>148</v>
      </c>
      <c r="I46" s="1">
        <v>45384</v>
      </c>
    </row>
    <row r="47" spans="1:9" x14ac:dyDescent="0.25">
      <c r="A47" t="s">
        <v>71</v>
      </c>
      <c r="B47" t="s">
        <v>24</v>
      </c>
      <c r="C47" t="s">
        <v>38</v>
      </c>
      <c r="D47">
        <v>19</v>
      </c>
      <c r="E47">
        <v>5772</v>
      </c>
      <c r="F47">
        <v>109668</v>
      </c>
      <c r="G47" t="s">
        <v>62</v>
      </c>
      <c r="H47" s="4" t="s">
        <v>147</v>
      </c>
      <c r="I47" s="1">
        <v>45334</v>
      </c>
    </row>
    <row r="48" spans="1:9" x14ac:dyDescent="0.25">
      <c r="A48" t="s">
        <v>72</v>
      </c>
      <c r="B48" t="s">
        <v>20</v>
      </c>
      <c r="C48" t="s">
        <v>10</v>
      </c>
      <c r="D48">
        <v>28</v>
      </c>
      <c r="E48">
        <v>5438</v>
      </c>
      <c r="F48">
        <v>152264</v>
      </c>
      <c r="G48" t="s">
        <v>18</v>
      </c>
      <c r="H48" s="4" t="s">
        <v>148</v>
      </c>
      <c r="I48" s="1">
        <v>45383</v>
      </c>
    </row>
    <row r="49" spans="1:9" x14ac:dyDescent="0.25">
      <c r="A49" t="s">
        <v>73</v>
      </c>
      <c r="B49" t="s">
        <v>24</v>
      </c>
      <c r="C49" t="s">
        <v>32</v>
      </c>
      <c r="D49">
        <v>46</v>
      </c>
      <c r="E49">
        <v>14321</v>
      </c>
      <c r="F49">
        <v>658766</v>
      </c>
      <c r="G49" t="s">
        <v>43</v>
      </c>
      <c r="H49" s="4" t="str">
        <f t="shared" ref="H49:H71" si="1">TEXT(5/18/2024,"mmmm")</f>
        <v>January</v>
      </c>
      <c r="I49" s="1">
        <v>45311</v>
      </c>
    </row>
    <row r="50" spans="1:9" x14ac:dyDescent="0.25">
      <c r="A50" t="s">
        <v>74</v>
      </c>
      <c r="B50" t="s">
        <v>24</v>
      </c>
      <c r="C50" t="s">
        <v>38</v>
      </c>
      <c r="D50">
        <v>35</v>
      </c>
      <c r="E50">
        <v>15080</v>
      </c>
      <c r="F50">
        <v>527800</v>
      </c>
      <c r="G50" t="s">
        <v>50</v>
      </c>
      <c r="H50" s="4" t="s">
        <v>147</v>
      </c>
      <c r="I50" s="1">
        <v>45348</v>
      </c>
    </row>
    <row r="51" spans="1:9" x14ac:dyDescent="0.25">
      <c r="A51" t="s">
        <v>75</v>
      </c>
      <c r="B51" t="s">
        <v>24</v>
      </c>
      <c r="C51" t="s">
        <v>28</v>
      </c>
      <c r="D51">
        <v>4</v>
      </c>
      <c r="E51">
        <v>24308</v>
      </c>
      <c r="F51">
        <v>97232</v>
      </c>
      <c r="G51" t="s">
        <v>41</v>
      </c>
      <c r="H51" s="4" t="s">
        <v>149</v>
      </c>
      <c r="I51" s="1">
        <v>45415</v>
      </c>
    </row>
    <row r="52" spans="1:9" x14ac:dyDescent="0.25">
      <c r="A52" t="s">
        <v>76</v>
      </c>
      <c r="B52" t="s">
        <v>27</v>
      </c>
      <c r="C52" t="s">
        <v>14</v>
      </c>
      <c r="D52">
        <v>2</v>
      </c>
      <c r="E52">
        <v>16028</v>
      </c>
      <c r="F52">
        <v>32056</v>
      </c>
      <c r="G52" t="s">
        <v>36</v>
      </c>
      <c r="H52" s="4" t="s">
        <v>147</v>
      </c>
      <c r="I52" s="1">
        <v>45329</v>
      </c>
    </row>
    <row r="53" spans="1:9" x14ac:dyDescent="0.25">
      <c r="A53" t="s">
        <v>77</v>
      </c>
      <c r="B53" t="s">
        <v>9</v>
      </c>
      <c r="C53" t="s">
        <v>35</v>
      </c>
      <c r="D53">
        <v>44</v>
      </c>
      <c r="E53">
        <v>7682</v>
      </c>
      <c r="F53">
        <v>338008</v>
      </c>
      <c r="G53" t="s">
        <v>46</v>
      </c>
      <c r="H53" s="4" t="s">
        <v>150</v>
      </c>
      <c r="I53" s="1">
        <v>45457</v>
      </c>
    </row>
    <row r="54" spans="1:9" x14ac:dyDescent="0.25">
      <c r="A54" t="s">
        <v>78</v>
      </c>
      <c r="B54" t="s">
        <v>20</v>
      </c>
      <c r="C54" t="s">
        <v>10</v>
      </c>
      <c r="D54">
        <v>40</v>
      </c>
      <c r="E54">
        <v>2424</v>
      </c>
      <c r="F54">
        <v>96960</v>
      </c>
      <c r="G54" t="s">
        <v>79</v>
      </c>
      <c r="H54" s="4" t="str">
        <f t="shared" si="1"/>
        <v>January</v>
      </c>
      <c r="I54" s="1">
        <v>45292</v>
      </c>
    </row>
    <row r="55" spans="1:9" x14ac:dyDescent="0.25">
      <c r="A55" t="s">
        <v>80</v>
      </c>
      <c r="B55" t="s">
        <v>9</v>
      </c>
      <c r="C55" t="s">
        <v>28</v>
      </c>
      <c r="D55">
        <v>6</v>
      </c>
      <c r="E55">
        <v>1319</v>
      </c>
      <c r="F55">
        <v>7914</v>
      </c>
      <c r="G55" t="s">
        <v>29</v>
      </c>
      <c r="H55" s="4" t="s">
        <v>147</v>
      </c>
      <c r="I55" s="1">
        <v>45351</v>
      </c>
    </row>
    <row r="56" spans="1:9" x14ac:dyDescent="0.25">
      <c r="A56" t="s">
        <v>81</v>
      </c>
      <c r="B56" t="s">
        <v>31</v>
      </c>
      <c r="C56" t="s">
        <v>32</v>
      </c>
      <c r="D56">
        <v>33</v>
      </c>
      <c r="E56">
        <v>12065</v>
      </c>
      <c r="F56">
        <v>398145</v>
      </c>
      <c r="G56" t="s">
        <v>29</v>
      </c>
      <c r="H56" s="4" t="s">
        <v>148</v>
      </c>
      <c r="I56" s="1">
        <v>45388</v>
      </c>
    </row>
    <row r="57" spans="1:9" x14ac:dyDescent="0.25">
      <c r="A57" t="s">
        <v>82</v>
      </c>
      <c r="B57" t="s">
        <v>24</v>
      </c>
      <c r="C57" t="s">
        <v>38</v>
      </c>
      <c r="D57">
        <v>16</v>
      </c>
      <c r="E57">
        <v>9128</v>
      </c>
      <c r="F57">
        <v>146048</v>
      </c>
      <c r="G57" t="s">
        <v>36</v>
      </c>
      <c r="H57" s="4" t="str">
        <f t="shared" si="1"/>
        <v>January</v>
      </c>
      <c r="I57" s="1">
        <v>45312</v>
      </c>
    </row>
    <row r="58" spans="1:9" x14ac:dyDescent="0.25">
      <c r="A58" t="s">
        <v>83</v>
      </c>
      <c r="B58" t="s">
        <v>13</v>
      </c>
      <c r="C58" t="s">
        <v>14</v>
      </c>
      <c r="D58">
        <v>2</v>
      </c>
      <c r="E58">
        <v>20962</v>
      </c>
      <c r="F58">
        <v>41924</v>
      </c>
      <c r="G58" t="s">
        <v>79</v>
      </c>
      <c r="H58" s="4" t="s">
        <v>148</v>
      </c>
      <c r="I58" s="1">
        <v>45391</v>
      </c>
    </row>
    <row r="59" spans="1:9" x14ac:dyDescent="0.25">
      <c r="A59" t="s">
        <v>84</v>
      </c>
      <c r="B59" t="s">
        <v>17</v>
      </c>
      <c r="C59" t="s">
        <v>28</v>
      </c>
      <c r="D59">
        <v>20</v>
      </c>
      <c r="E59">
        <v>18902</v>
      </c>
      <c r="F59">
        <v>378040</v>
      </c>
      <c r="G59" t="s">
        <v>62</v>
      </c>
      <c r="H59" s="4" t="s">
        <v>147</v>
      </c>
      <c r="I59" s="1">
        <v>45333</v>
      </c>
    </row>
    <row r="60" spans="1:9" x14ac:dyDescent="0.25">
      <c r="A60" t="s">
        <v>85</v>
      </c>
      <c r="B60" t="s">
        <v>31</v>
      </c>
      <c r="C60" t="s">
        <v>32</v>
      </c>
      <c r="D60">
        <v>5</v>
      </c>
      <c r="E60">
        <v>2225</v>
      </c>
      <c r="F60">
        <v>11125</v>
      </c>
      <c r="G60" t="s">
        <v>56</v>
      </c>
      <c r="H60" s="4" t="str">
        <f t="shared" si="1"/>
        <v>January</v>
      </c>
      <c r="I60" s="1">
        <v>45308</v>
      </c>
    </row>
    <row r="61" spans="1:9" x14ac:dyDescent="0.25">
      <c r="A61" t="s">
        <v>86</v>
      </c>
      <c r="B61" t="s">
        <v>27</v>
      </c>
      <c r="C61" t="s">
        <v>14</v>
      </c>
      <c r="D61">
        <v>24</v>
      </c>
      <c r="E61">
        <v>16010</v>
      </c>
      <c r="F61">
        <v>384240</v>
      </c>
      <c r="G61" t="s">
        <v>50</v>
      </c>
      <c r="H61" s="4" t="s">
        <v>146</v>
      </c>
      <c r="I61" s="1">
        <v>45367</v>
      </c>
    </row>
    <row r="62" spans="1:9" x14ac:dyDescent="0.25">
      <c r="A62" t="s">
        <v>87</v>
      </c>
      <c r="B62" t="s">
        <v>27</v>
      </c>
      <c r="C62" t="s">
        <v>14</v>
      </c>
      <c r="D62">
        <v>47</v>
      </c>
      <c r="E62">
        <v>16719</v>
      </c>
      <c r="F62">
        <v>785793</v>
      </c>
      <c r="G62" t="s">
        <v>48</v>
      </c>
      <c r="H62" s="4" t="str">
        <f t="shared" si="1"/>
        <v>January</v>
      </c>
      <c r="I62" s="1">
        <v>45317</v>
      </c>
    </row>
    <row r="63" spans="1:9" x14ac:dyDescent="0.25">
      <c r="A63" t="s">
        <v>88</v>
      </c>
      <c r="B63" t="s">
        <v>9</v>
      </c>
      <c r="C63" t="s">
        <v>35</v>
      </c>
      <c r="D63">
        <v>44</v>
      </c>
      <c r="E63">
        <v>15431</v>
      </c>
      <c r="F63">
        <v>678964</v>
      </c>
      <c r="G63" t="s">
        <v>22</v>
      </c>
      <c r="H63" s="4" t="str">
        <f t="shared" si="1"/>
        <v>January</v>
      </c>
      <c r="I63" s="1">
        <v>45293</v>
      </c>
    </row>
    <row r="64" spans="1:9" x14ac:dyDescent="0.25">
      <c r="A64" t="s">
        <v>89</v>
      </c>
      <c r="B64" t="s">
        <v>31</v>
      </c>
      <c r="C64" t="s">
        <v>35</v>
      </c>
      <c r="D64">
        <v>43</v>
      </c>
      <c r="E64">
        <v>10101</v>
      </c>
      <c r="F64">
        <v>434343</v>
      </c>
      <c r="G64" t="s">
        <v>15</v>
      </c>
      <c r="H64" s="4" t="str">
        <f t="shared" si="1"/>
        <v>January</v>
      </c>
      <c r="I64" s="1">
        <v>45300</v>
      </c>
    </row>
    <row r="65" spans="1:9" x14ac:dyDescent="0.25">
      <c r="A65" t="s">
        <v>90</v>
      </c>
      <c r="B65" t="s">
        <v>9</v>
      </c>
      <c r="C65" t="s">
        <v>21</v>
      </c>
      <c r="D65">
        <v>27</v>
      </c>
      <c r="E65">
        <v>8072</v>
      </c>
      <c r="F65">
        <v>217944</v>
      </c>
      <c r="G65" t="s">
        <v>41</v>
      </c>
      <c r="H65" s="4" t="str">
        <f t="shared" si="1"/>
        <v>January</v>
      </c>
      <c r="I65" s="1">
        <v>45301</v>
      </c>
    </row>
    <row r="66" spans="1:9" x14ac:dyDescent="0.25">
      <c r="A66" t="s">
        <v>91</v>
      </c>
      <c r="B66" t="s">
        <v>27</v>
      </c>
      <c r="C66" t="s">
        <v>38</v>
      </c>
      <c r="D66">
        <v>42</v>
      </c>
      <c r="E66">
        <v>4758</v>
      </c>
      <c r="F66">
        <v>199836</v>
      </c>
      <c r="G66" t="s">
        <v>66</v>
      </c>
      <c r="H66" s="4" t="s">
        <v>150</v>
      </c>
      <c r="I66" s="1">
        <v>45472</v>
      </c>
    </row>
    <row r="67" spans="1:9" x14ac:dyDescent="0.25">
      <c r="A67" t="s">
        <v>92</v>
      </c>
      <c r="B67" t="s">
        <v>9</v>
      </c>
      <c r="C67" t="s">
        <v>14</v>
      </c>
      <c r="D67">
        <v>26</v>
      </c>
      <c r="E67">
        <v>24073</v>
      </c>
      <c r="F67">
        <v>625898</v>
      </c>
      <c r="G67" t="s">
        <v>22</v>
      </c>
      <c r="H67" s="4" t="s">
        <v>147</v>
      </c>
      <c r="I67" s="1">
        <v>45342</v>
      </c>
    </row>
    <row r="68" spans="1:9" x14ac:dyDescent="0.25">
      <c r="A68" t="s">
        <v>93</v>
      </c>
      <c r="B68" t="s">
        <v>31</v>
      </c>
      <c r="C68" t="s">
        <v>32</v>
      </c>
      <c r="D68">
        <v>25</v>
      </c>
      <c r="E68">
        <v>21240</v>
      </c>
      <c r="F68">
        <v>531000</v>
      </c>
      <c r="G68" t="s">
        <v>62</v>
      </c>
      <c r="H68" s="4" t="str">
        <f t="shared" si="1"/>
        <v>January</v>
      </c>
      <c r="I68" s="1">
        <v>45307</v>
      </c>
    </row>
    <row r="69" spans="1:9" x14ac:dyDescent="0.25">
      <c r="A69" t="s">
        <v>94</v>
      </c>
      <c r="B69" t="s">
        <v>31</v>
      </c>
      <c r="C69" t="s">
        <v>10</v>
      </c>
      <c r="D69">
        <v>46</v>
      </c>
      <c r="E69">
        <v>15607</v>
      </c>
      <c r="F69">
        <v>717922</v>
      </c>
      <c r="G69" t="s">
        <v>25</v>
      </c>
      <c r="H69" s="4" t="str">
        <f t="shared" si="1"/>
        <v>January</v>
      </c>
      <c r="I69" s="1">
        <v>45311</v>
      </c>
    </row>
    <row r="70" spans="1:9" x14ac:dyDescent="0.25">
      <c r="A70" t="s">
        <v>95</v>
      </c>
      <c r="B70" t="s">
        <v>31</v>
      </c>
      <c r="C70" t="s">
        <v>28</v>
      </c>
      <c r="D70">
        <v>44</v>
      </c>
      <c r="E70">
        <v>23250</v>
      </c>
      <c r="F70">
        <v>1023000</v>
      </c>
      <c r="G70" t="s">
        <v>96</v>
      </c>
      <c r="H70" s="4" t="s">
        <v>148</v>
      </c>
      <c r="I70" s="1">
        <v>45411</v>
      </c>
    </row>
    <row r="71" spans="1:9" x14ac:dyDescent="0.25">
      <c r="A71" t="s">
        <v>97</v>
      </c>
      <c r="B71" t="s">
        <v>17</v>
      </c>
      <c r="C71" t="s">
        <v>14</v>
      </c>
      <c r="D71">
        <v>23</v>
      </c>
      <c r="E71">
        <v>4808</v>
      </c>
      <c r="F71">
        <v>110584</v>
      </c>
      <c r="G71" t="s">
        <v>66</v>
      </c>
      <c r="H71" s="4" t="str">
        <f t="shared" si="1"/>
        <v>January</v>
      </c>
      <c r="I71" s="1">
        <v>45304</v>
      </c>
    </row>
    <row r="72" spans="1:9" x14ac:dyDescent="0.25">
      <c r="A72" t="s">
        <v>98</v>
      </c>
      <c r="B72" t="s">
        <v>27</v>
      </c>
      <c r="C72" t="s">
        <v>32</v>
      </c>
      <c r="D72">
        <v>5</v>
      </c>
      <c r="E72">
        <v>7183</v>
      </c>
      <c r="F72">
        <v>35915</v>
      </c>
      <c r="G72" t="s">
        <v>79</v>
      </c>
      <c r="H72" s="4" t="s">
        <v>147</v>
      </c>
      <c r="I72" s="1">
        <v>45338</v>
      </c>
    </row>
    <row r="73" spans="1:9" x14ac:dyDescent="0.25">
      <c r="A73" t="s">
        <v>99</v>
      </c>
      <c r="B73" t="s">
        <v>24</v>
      </c>
      <c r="C73" t="s">
        <v>14</v>
      </c>
      <c r="D73">
        <v>34</v>
      </c>
      <c r="E73">
        <v>15062</v>
      </c>
      <c r="F73">
        <v>512108</v>
      </c>
      <c r="G73" t="s">
        <v>50</v>
      </c>
      <c r="H73" s="4" t="s">
        <v>149</v>
      </c>
      <c r="I73" s="1">
        <v>45443</v>
      </c>
    </row>
    <row r="74" spans="1:9" x14ac:dyDescent="0.25">
      <c r="A74" t="s">
        <v>100</v>
      </c>
      <c r="B74" t="s">
        <v>9</v>
      </c>
      <c r="C74" t="s">
        <v>14</v>
      </c>
      <c r="D74">
        <v>28</v>
      </c>
      <c r="E74">
        <v>23794</v>
      </c>
      <c r="F74">
        <v>666232</v>
      </c>
      <c r="G74" t="s">
        <v>36</v>
      </c>
      <c r="H74" s="4" t="s">
        <v>148</v>
      </c>
      <c r="I74" s="1">
        <v>45408</v>
      </c>
    </row>
    <row r="75" spans="1:9" x14ac:dyDescent="0.25">
      <c r="A75" t="s">
        <v>101</v>
      </c>
      <c r="B75" t="s">
        <v>27</v>
      </c>
      <c r="C75" t="s">
        <v>35</v>
      </c>
      <c r="D75">
        <v>44</v>
      </c>
      <c r="E75">
        <v>6455</v>
      </c>
      <c r="F75">
        <v>284020</v>
      </c>
      <c r="G75" t="s">
        <v>48</v>
      </c>
      <c r="H75" s="4" t="s">
        <v>147</v>
      </c>
      <c r="I75" s="1">
        <v>45334</v>
      </c>
    </row>
    <row r="76" spans="1:9" x14ac:dyDescent="0.25">
      <c r="A76" t="s">
        <v>102</v>
      </c>
      <c r="B76" t="s">
        <v>20</v>
      </c>
      <c r="C76" t="s">
        <v>35</v>
      </c>
      <c r="D76">
        <v>39</v>
      </c>
      <c r="E76">
        <v>11109</v>
      </c>
      <c r="F76">
        <v>433251</v>
      </c>
      <c r="G76" t="s">
        <v>11</v>
      </c>
      <c r="H76" s="4" t="s">
        <v>147</v>
      </c>
      <c r="I76" s="1">
        <v>45333</v>
      </c>
    </row>
    <row r="77" spans="1:9" x14ac:dyDescent="0.25">
      <c r="A77" t="s">
        <v>103</v>
      </c>
      <c r="B77" t="s">
        <v>24</v>
      </c>
      <c r="C77" t="s">
        <v>35</v>
      </c>
      <c r="D77">
        <v>48</v>
      </c>
      <c r="E77">
        <v>15425</v>
      </c>
      <c r="F77">
        <v>740400</v>
      </c>
      <c r="G77" t="s">
        <v>56</v>
      </c>
      <c r="H77" s="4" t="s">
        <v>150</v>
      </c>
      <c r="I77" s="1">
        <v>45466</v>
      </c>
    </row>
    <row r="78" spans="1:9" x14ac:dyDescent="0.25">
      <c r="A78" t="s">
        <v>104</v>
      </c>
      <c r="B78" t="s">
        <v>20</v>
      </c>
      <c r="C78" t="s">
        <v>35</v>
      </c>
      <c r="D78">
        <v>30</v>
      </c>
      <c r="E78">
        <v>9479</v>
      </c>
      <c r="F78">
        <v>284370</v>
      </c>
      <c r="G78" t="s">
        <v>62</v>
      </c>
      <c r="H78" s="4" t="s">
        <v>147</v>
      </c>
      <c r="I78" s="1">
        <v>45337</v>
      </c>
    </row>
    <row r="79" spans="1:9" x14ac:dyDescent="0.25">
      <c r="A79" t="s">
        <v>105</v>
      </c>
      <c r="B79" t="s">
        <v>17</v>
      </c>
      <c r="C79" t="s">
        <v>28</v>
      </c>
      <c r="D79">
        <v>26</v>
      </c>
      <c r="E79">
        <v>5734</v>
      </c>
      <c r="F79">
        <v>149084</v>
      </c>
      <c r="G79" t="s">
        <v>48</v>
      </c>
      <c r="H79" s="4" t="str">
        <f t="shared" ref="H79:H112" si="2">TEXT(5/18/2024,"mmmm")</f>
        <v>January</v>
      </c>
      <c r="I79" s="1">
        <v>45301</v>
      </c>
    </row>
    <row r="80" spans="1:9" x14ac:dyDescent="0.25">
      <c r="A80" t="s">
        <v>106</v>
      </c>
      <c r="B80" t="s">
        <v>24</v>
      </c>
      <c r="C80" t="s">
        <v>32</v>
      </c>
      <c r="D80">
        <v>18</v>
      </c>
      <c r="E80">
        <v>24495</v>
      </c>
      <c r="F80">
        <v>440910</v>
      </c>
      <c r="G80" t="s">
        <v>29</v>
      </c>
      <c r="H80" s="4" t="str">
        <f t="shared" si="2"/>
        <v>January</v>
      </c>
      <c r="I80" s="1">
        <v>45310</v>
      </c>
    </row>
    <row r="81" spans="1:9" x14ac:dyDescent="0.25">
      <c r="A81" t="s">
        <v>107</v>
      </c>
      <c r="B81" t="s">
        <v>31</v>
      </c>
      <c r="C81" t="s">
        <v>21</v>
      </c>
      <c r="D81">
        <v>25</v>
      </c>
      <c r="E81">
        <v>17989</v>
      </c>
      <c r="F81">
        <v>449725</v>
      </c>
      <c r="G81" t="s">
        <v>33</v>
      </c>
      <c r="H81" s="4" t="s">
        <v>150</v>
      </c>
      <c r="I81" s="1">
        <v>45445</v>
      </c>
    </row>
    <row r="82" spans="1:9" x14ac:dyDescent="0.25">
      <c r="A82" t="s">
        <v>108</v>
      </c>
      <c r="B82" t="s">
        <v>17</v>
      </c>
      <c r="C82" t="s">
        <v>28</v>
      </c>
      <c r="D82">
        <v>47</v>
      </c>
      <c r="E82">
        <v>1862</v>
      </c>
      <c r="F82">
        <v>87514</v>
      </c>
      <c r="G82" t="s">
        <v>39</v>
      </c>
      <c r="H82" s="4" t="str">
        <f t="shared" si="2"/>
        <v>January</v>
      </c>
      <c r="I82" s="1">
        <v>45300</v>
      </c>
    </row>
    <row r="83" spans="1:9" x14ac:dyDescent="0.25">
      <c r="A83" t="s">
        <v>109</v>
      </c>
      <c r="B83" t="s">
        <v>27</v>
      </c>
      <c r="C83" t="s">
        <v>14</v>
      </c>
      <c r="D83">
        <v>21</v>
      </c>
      <c r="E83">
        <v>20353</v>
      </c>
      <c r="F83">
        <v>427413</v>
      </c>
      <c r="G83" t="s">
        <v>79</v>
      </c>
      <c r="H83" s="4" t="s">
        <v>146</v>
      </c>
      <c r="I83" s="1">
        <v>45356</v>
      </c>
    </row>
    <row r="84" spans="1:9" x14ac:dyDescent="0.25">
      <c r="A84" t="s">
        <v>110</v>
      </c>
      <c r="B84" t="s">
        <v>20</v>
      </c>
      <c r="C84" t="s">
        <v>28</v>
      </c>
      <c r="D84">
        <v>48</v>
      </c>
      <c r="E84">
        <v>13228</v>
      </c>
      <c r="F84">
        <v>634944</v>
      </c>
      <c r="G84" t="s">
        <v>25</v>
      </c>
      <c r="H84" s="4" t="s">
        <v>149</v>
      </c>
      <c r="I84" s="1">
        <v>45430</v>
      </c>
    </row>
    <row r="85" spans="1:9" x14ac:dyDescent="0.25">
      <c r="A85" t="s">
        <v>111</v>
      </c>
      <c r="B85" t="s">
        <v>31</v>
      </c>
      <c r="C85" t="s">
        <v>21</v>
      </c>
      <c r="D85">
        <v>43</v>
      </c>
      <c r="E85">
        <v>10407</v>
      </c>
      <c r="F85">
        <v>447501</v>
      </c>
      <c r="G85" t="s">
        <v>18</v>
      </c>
      <c r="H85" s="4" t="s">
        <v>150</v>
      </c>
      <c r="I85" s="1">
        <v>45453</v>
      </c>
    </row>
    <row r="86" spans="1:9" x14ac:dyDescent="0.25">
      <c r="A86" t="s">
        <v>112</v>
      </c>
      <c r="B86" t="s">
        <v>13</v>
      </c>
      <c r="C86" t="s">
        <v>14</v>
      </c>
      <c r="D86">
        <v>14</v>
      </c>
      <c r="E86">
        <v>4520</v>
      </c>
      <c r="F86">
        <v>63280</v>
      </c>
      <c r="G86" t="s">
        <v>15</v>
      </c>
      <c r="H86" s="4" t="s">
        <v>148</v>
      </c>
      <c r="I86" s="1">
        <v>45405</v>
      </c>
    </row>
    <row r="87" spans="1:9" x14ac:dyDescent="0.25">
      <c r="A87" t="s">
        <v>113</v>
      </c>
      <c r="B87" t="s">
        <v>20</v>
      </c>
      <c r="C87" t="s">
        <v>14</v>
      </c>
      <c r="D87">
        <v>3</v>
      </c>
      <c r="E87">
        <v>3864</v>
      </c>
      <c r="F87">
        <v>11592</v>
      </c>
      <c r="G87" t="s">
        <v>43</v>
      </c>
      <c r="H87" s="4" t="s">
        <v>148</v>
      </c>
      <c r="I87" s="1">
        <v>45403</v>
      </c>
    </row>
    <row r="88" spans="1:9" x14ac:dyDescent="0.25">
      <c r="A88" t="s">
        <v>114</v>
      </c>
      <c r="B88" t="s">
        <v>31</v>
      </c>
      <c r="C88" t="s">
        <v>14</v>
      </c>
      <c r="D88">
        <v>44</v>
      </c>
      <c r="E88">
        <v>12696</v>
      </c>
      <c r="F88">
        <v>558624</v>
      </c>
      <c r="G88" t="s">
        <v>43</v>
      </c>
      <c r="H88" s="4" t="s">
        <v>149</v>
      </c>
      <c r="I88" s="1">
        <v>45425</v>
      </c>
    </row>
    <row r="89" spans="1:9" x14ac:dyDescent="0.25">
      <c r="A89" t="s">
        <v>115</v>
      </c>
      <c r="B89" t="s">
        <v>13</v>
      </c>
      <c r="C89" t="s">
        <v>32</v>
      </c>
      <c r="D89">
        <v>25</v>
      </c>
      <c r="E89">
        <v>3253</v>
      </c>
      <c r="F89">
        <v>81325</v>
      </c>
      <c r="G89" t="s">
        <v>29</v>
      </c>
      <c r="H89" s="4" t="s">
        <v>148</v>
      </c>
      <c r="I89" s="1">
        <v>45383</v>
      </c>
    </row>
    <row r="90" spans="1:9" x14ac:dyDescent="0.25">
      <c r="A90" t="s">
        <v>116</v>
      </c>
      <c r="B90" t="s">
        <v>13</v>
      </c>
      <c r="C90" t="s">
        <v>38</v>
      </c>
      <c r="D90">
        <v>14</v>
      </c>
      <c r="E90">
        <v>1687</v>
      </c>
      <c r="F90">
        <v>23618</v>
      </c>
      <c r="G90" t="s">
        <v>33</v>
      </c>
      <c r="H90" s="4" t="s">
        <v>150</v>
      </c>
      <c r="I90" s="1">
        <v>45450</v>
      </c>
    </row>
    <row r="91" spans="1:9" x14ac:dyDescent="0.25">
      <c r="A91" t="s">
        <v>117</v>
      </c>
      <c r="B91" t="s">
        <v>31</v>
      </c>
      <c r="C91" t="s">
        <v>14</v>
      </c>
      <c r="D91">
        <v>40</v>
      </c>
      <c r="E91">
        <v>5994</v>
      </c>
      <c r="F91">
        <v>239760</v>
      </c>
      <c r="G91" t="s">
        <v>56</v>
      </c>
      <c r="H91" s="4" t="s">
        <v>147</v>
      </c>
      <c r="I91" s="1">
        <v>45338</v>
      </c>
    </row>
    <row r="92" spans="1:9" x14ac:dyDescent="0.25">
      <c r="A92" t="s">
        <v>118</v>
      </c>
      <c r="B92" t="s">
        <v>13</v>
      </c>
      <c r="C92" t="s">
        <v>10</v>
      </c>
      <c r="D92">
        <v>49</v>
      </c>
      <c r="E92">
        <v>14831</v>
      </c>
      <c r="F92">
        <v>726719</v>
      </c>
      <c r="G92" t="s">
        <v>46</v>
      </c>
      <c r="H92" s="4" t="s">
        <v>148</v>
      </c>
      <c r="I92" s="1">
        <v>45410</v>
      </c>
    </row>
    <row r="93" spans="1:9" x14ac:dyDescent="0.25">
      <c r="A93" t="s">
        <v>119</v>
      </c>
      <c r="B93" t="s">
        <v>27</v>
      </c>
      <c r="C93" t="s">
        <v>38</v>
      </c>
      <c r="D93">
        <v>11</v>
      </c>
      <c r="E93">
        <v>8082</v>
      </c>
      <c r="F93">
        <v>88902</v>
      </c>
      <c r="G93" t="s">
        <v>25</v>
      </c>
      <c r="H93" s="4" t="s">
        <v>146</v>
      </c>
      <c r="I93" s="1">
        <v>45375</v>
      </c>
    </row>
    <row r="94" spans="1:9" x14ac:dyDescent="0.25">
      <c r="A94" t="s">
        <v>120</v>
      </c>
      <c r="B94" t="s">
        <v>31</v>
      </c>
      <c r="C94" t="s">
        <v>14</v>
      </c>
      <c r="D94">
        <v>47</v>
      </c>
      <c r="E94">
        <v>22132</v>
      </c>
      <c r="F94">
        <v>1040204</v>
      </c>
      <c r="G94" t="s">
        <v>22</v>
      </c>
      <c r="H94" s="4" t="s">
        <v>150</v>
      </c>
      <c r="I94" s="1">
        <v>45457</v>
      </c>
    </row>
    <row r="95" spans="1:9" x14ac:dyDescent="0.25">
      <c r="A95" t="s">
        <v>121</v>
      </c>
      <c r="B95" t="s">
        <v>24</v>
      </c>
      <c r="C95" t="s">
        <v>10</v>
      </c>
      <c r="D95">
        <v>47</v>
      </c>
      <c r="E95">
        <v>6658</v>
      </c>
      <c r="F95">
        <v>312926</v>
      </c>
      <c r="G95" t="s">
        <v>50</v>
      </c>
      <c r="H95" s="4" t="s">
        <v>149</v>
      </c>
      <c r="I95" s="1">
        <v>45434</v>
      </c>
    </row>
    <row r="96" spans="1:9" x14ac:dyDescent="0.25">
      <c r="A96" t="s">
        <v>122</v>
      </c>
      <c r="B96" t="s">
        <v>27</v>
      </c>
      <c r="C96" t="s">
        <v>38</v>
      </c>
      <c r="D96">
        <v>45</v>
      </c>
      <c r="E96">
        <v>1238</v>
      </c>
      <c r="F96">
        <v>55710</v>
      </c>
      <c r="G96" t="s">
        <v>18</v>
      </c>
      <c r="H96" s="4" t="s">
        <v>150</v>
      </c>
      <c r="I96" s="1">
        <v>45456</v>
      </c>
    </row>
    <row r="97" spans="1:9" x14ac:dyDescent="0.25">
      <c r="A97" t="s">
        <v>123</v>
      </c>
      <c r="B97" t="s">
        <v>31</v>
      </c>
      <c r="C97" t="s">
        <v>32</v>
      </c>
      <c r="D97">
        <v>47</v>
      </c>
      <c r="E97">
        <v>14799</v>
      </c>
      <c r="F97">
        <v>695553</v>
      </c>
      <c r="G97" t="s">
        <v>33</v>
      </c>
      <c r="H97" s="4" t="s">
        <v>147</v>
      </c>
      <c r="I97" s="1">
        <v>45331</v>
      </c>
    </row>
    <row r="98" spans="1:9" x14ac:dyDescent="0.25">
      <c r="A98" t="s">
        <v>124</v>
      </c>
      <c r="B98" t="s">
        <v>17</v>
      </c>
      <c r="C98" t="s">
        <v>28</v>
      </c>
      <c r="D98">
        <v>22</v>
      </c>
      <c r="E98">
        <v>22023</v>
      </c>
      <c r="F98">
        <v>484506</v>
      </c>
      <c r="G98" t="s">
        <v>96</v>
      </c>
      <c r="H98" s="4" t="str">
        <f t="shared" si="2"/>
        <v>January</v>
      </c>
      <c r="I98" s="1">
        <v>45318</v>
      </c>
    </row>
    <row r="99" spans="1:9" x14ac:dyDescent="0.25">
      <c r="A99" t="s">
        <v>125</v>
      </c>
      <c r="B99" t="s">
        <v>24</v>
      </c>
      <c r="C99" t="s">
        <v>28</v>
      </c>
      <c r="D99">
        <v>31</v>
      </c>
      <c r="E99">
        <v>3210</v>
      </c>
      <c r="F99">
        <v>99510</v>
      </c>
      <c r="G99" t="s">
        <v>56</v>
      </c>
      <c r="H99" s="4" t="str">
        <f t="shared" si="2"/>
        <v>January</v>
      </c>
      <c r="I99" s="1">
        <v>45296</v>
      </c>
    </row>
    <row r="100" spans="1:9" x14ac:dyDescent="0.25">
      <c r="A100" t="s">
        <v>126</v>
      </c>
      <c r="B100" t="s">
        <v>9</v>
      </c>
      <c r="C100" t="s">
        <v>10</v>
      </c>
      <c r="D100">
        <v>25</v>
      </c>
      <c r="E100">
        <v>1580</v>
      </c>
      <c r="F100">
        <v>39500</v>
      </c>
      <c r="G100" t="s">
        <v>39</v>
      </c>
      <c r="H100" s="4" t="s">
        <v>147</v>
      </c>
      <c r="I100" s="1">
        <v>45343</v>
      </c>
    </row>
    <row r="101" spans="1:9" x14ac:dyDescent="0.25">
      <c r="A101" t="s">
        <v>127</v>
      </c>
      <c r="B101" t="s">
        <v>9</v>
      </c>
      <c r="C101" t="s">
        <v>35</v>
      </c>
      <c r="D101">
        <v>37</v>
      </c>
      <c r="E101">
        <v>17564</v>
      </c>
      <c r="F101">
        <v>649868</v>
      </c>
      <c r="G101" t="s">
        <v>128</v>
      </c>
      <c r="H101" s="4" t="s">
        <v>147</v>
      </c>
      <c r="I101" s="1">
        <v>45330</v>
      </c>
    </row>
    <row r="102" spans="1:9" x14ac:dyDescent="0.25">
      <c r="A102" t="s">
        <v>129</v>
      </c>
      <c r="B102" t="s">
        <v>13</v>
      </c>
      <c r="C102" t="s">
        <v>35</v>
      </c>
      <c r="D102">
        <v>44</v>
      </c>
      <c r="E102">
        <v>14178</v>
      </c>
      <c r="F102">
        <v>623832</v>
      </c>
      <c r="G102" t="s">
        <v>41</v>
      </c>
      <c r="H102" s="4" t="s">
        <v>148</v>
      </c>
      <c r="I102" s="1">
        <v>45390</v>
      </c>
    </row>
    <row r="103" spans="1:9" x14ac:dyDescent="0.25">
      <c r="A103" t="s">
        <v>130</v>
      </c>
      <c r="B103" t="s">
        <v>17</v>
      </c>
      <c r="C103" t="s">
        <v>38</v>
      </c>
      <c r="D103">
        <v>20</v>
      </c>
      <c r="E103">
        <v>23664</v>
      </c>
      <c r="F103">
        <v>473280</v>
      </c>
      <c r="G103" t="s">
        <v>128</v>
      </c>
      <c r="H103" s="4" t="s">
        <v>146</v>
      </c>
      <c r="I103" s="1">
        <v>45362</v>
      </c>
    </row>
    <row r="104" spans="1:9" x14ac:dyDescent="0.25">
      <c r="A104" t="s">
        <v>131</v>
      </c>
      <c r="B104" t="s">
        <v>31</v>
      </c>
      <c r="C104" t="s">
        <v>32</v>
      </c>
      <c r="D104">
        <v>23</v>
      </c>
      <c r="E104">
        <v>7894</v>
      </c>
      <c r="F104">
        <v>181562</v>
      </c>
      <c r="G104" t="s">
        <v>18</v>
      </c>
      <c r="H104" s="4" t="s">
        <v>148</v>
      </c>
      <c r="I104" s="1">
        <v>45383</v>
      </c>
    </row>
    <row r="105" spans="1:9" x14ac:dyDescent="0.25">
      <c r="A105" t="s">
        <v>132</v>
      </c>
      <c r="B105" t="s">
        <v>17</v>
      </c>
      <c r="C105" t="s">
        <v>38</v>
      </c>
      <c r="D105">
        <v>47</v>
      </c>
      <c r="E105">
        <v>6357</v>
      </c>
      <c r="F105">
        <v>298779</v>
      </c>
      <c r="G105" t="s">
        <v>46</v>
      </c>
      <c r="H105" s="4" t="s">
        <v>150</v>
      </c>
      <c r="I105" s="1">
        <v>45449</v>
      </c>
    </row>
    <row r="106" spans="1:9" x14ac:dyDescent="0.25">
      <c r="A106" t="s">
        <v>133</v>
      </c>
      <c r="B106" t="s">
        <v>27</v>
      </c>
      <c r="C106" t="s">
        <v>10</v>
      </c>
      <c r="D106">
        <v>16</v>
      </c>
      <c r="E106">
        <v>21708</v>
      </c>
      <c r="F106">
        <v>347328</v>
      </c>
      <c r="G106" t="s">
        <v>79</v>
      </c>
      <c r="H106" s="4" t="s">
        <v>149</v>
      </c>
      <c r="I106" s="1">
        <v>45417</v>
      </c>
    </row>
    <row r="107" spans="1:9" x14ac:dyDescent="0.25">
      <c r="A107" t="s">
        <v>134</v>
      </c>
      <c r="B107" t="s">
        <v>17</v>
      </c>
      <c r="C107" t="s">
        <v>38</v>
      </c>
      <c r="D107">
        <v>28</v>
      </c>
      <c r="E107">
        <v>8137</v>
      </c>
      <c r="F107">
        <v>227836</v>
      </c>
      <c r="G107" t="s">
        <v>18</v>
      </c>
      <c r="H107" s="4" t="s">
        <v>150</v>
      </c>
      <c r="I107" s="1">
        <v>45464</v>
      </c>
    </row>
    <row r="108" spans="1:9" x14ac:dyDescent="0.25">
      <c r="A108" t="s">
        <v>135</v>
      </c>
      <c r="B108" t="s">
        <v>17</v>
      </c>
      <c r="C108" t="s">
        <v>14</v>
      </c>
      <c r="D108">
        <v>9</v>
      </c>
      <c r="E108">
        <v>9266</v>
      </c>
      <c r="F108">
        <v>83394</v>
      </c>
      <c r="G108" t="s">
        <v>36</v>
      </c>
      <c r="H108" s="4" t="s">
        <v>150</v>
      </c>
      <c r="I108" s="1">
        <v>45451</v>
      </c>
    </row>
    <row r="109" spans="1:9" x14ac:dyDescent="0.25">
      <c r="A109" t="s">
        <v>136</v>
      </c>
      <c r="B109" t="s">
        <v>24</v>
      </c>
      <c r="C109" t="s">
        <v>35</v>
      </c>
      <c r="D109">
        <v>16</v>
      </c>
      <c r="E109">
        <v>4337</v>
      </c>
      <c r="F109">
        <v>69392</v>
      </c>
      <c r="G109" t="s">
        <v>79</v>
      </c>
      <c r="H109" s="4" t="s">
        <v>148</v>
      </c>
      <c r="I109" s="1">
        <v>45398</v>
      </c>
    </row>
    <row r="110" spans="1:9" x14ac:dyDescent="0.25">
      <c r="A110" t="s">
        <v>137</v>
      </c>
      <c r="B110" t="s">
        <v>24</v>
      </c>
      <c r="C110" t="s">
        <v>38</v>
      </c>
      <c r="D110">
        <v>11</v>
      </c>
      <c r="E110">
        <v>22848</v>
      </c>
      <c r="F110">
        <v>251328</v>
      </c>
      <c r="G110" t="s">
        <v>33</v>
      </c>
      <c r="H110" s="4" t="s">
        <v>149</v>
      </c>
      <c r="I110" s="1">
        <v>45418</v>
      </c>
    </row>
    <row r="111" spans="1:9" x14ac:dyDescent="0.25">
      <c r="A111" t="s">
        <v>138</v>
      </c>
      <c r="B111" t="s">
        <v>17</v>
      </c>
      <c r="C111" t="s">
        <v>21</v>
      </c>
      <c r="D111">
        <v>17</v>
      </c>
      <c r="E111">
        <v>19554</v>
      </c>
      <c r="F111">
        <v>332418</v>
      </c>
      <c r="G111" t="s">
        <v>36</v>
      </c>
      <c r="H111" s="4" t="s">
        <v>148</v>
      </c>
      <c r="I111" s="1">
        <v>45393</v>
      </c>
    </row>
    <row r="112" spans="1:9" x14ac:dyDescent="0.25">
      <c r="A112" t="s">
        <v>139</v>
      </c>
      <c r="B112" t="s">
        <v>27</v>
      </c>
      <c r="C112" t="s">
        <v>21</v>
      </c>
      <c r="D112">
        <v>41</v>
      </c>
      <c r="E112">
        <v>16712</v>
      </c>
      <c r="F112">
        <v>685192</v>
      </c>
      <c r="G112" t="s">
        <v>29</v>
      </c>
      <c r="H112" s="4" t="str">
        <f t="shared" si="2"/>
        <v>January</v>
      </c>
      <c r="I112" s="1">
        <v>45295</v>
      </c>
    </row>
    <row r="113" spans="1:9" x14ac:dyDescent="0.25">
      <c r="A113" t="s">
        <v>140</v>
      </c>
      <c r="B113" t="s">
        <v>17</v>
      </c>
      <c r="C113" t="s">
        <v>32</v>
      </c>
      <c r="D113">
        <v>14</v>
      </c>
      <c r="E113">
        <v>17088</v>
      </c>
      <c r="F113">
        <v>239232</v>
      </c>
      <c r="G113" t="s">
        <v>128</v>
      </c>
      <c r="H113" s="4" t="s">
        <v>147</v>
      </c>
      <c r="I113" s="1">
        <v>45348</v>
      </c>
    </row>
    <row r="114" spans="1:9" x14ac:dyDescent="0.25">
      <c r="A114" t="s">
        <v>141</v>
      </c>
      <c r="B114" t="s">
        <v>9</v>
      </c>
      <c r="C114" t="s">
        <v>28</v>
      </c>
      <c r="D114">
        <v>43</v>
      </c>
      <c r="E114">
        <v>22432</v>
      </c>
      <c r="F114">
        <v>964576</v>
      </c>
      <c r="G114" t="s">
        <v>66</v>
      </c>
      <c r="H114" s="4" t="s">
        <v>146</v>
      </c>
      <c r="I114" s="1">
        <v>45429</v>
      </c>
    </row>
    <row r="118" spans="1:9" x14ac:dyDescent="0.25">
      <c r="B118" s="10" t="s">
        <v>142</v>
      </c>
      <c r="C118" s="11" t="s">
        <v>144</v>
      </c>
    </row>
    <row r="119" spans="1:9" x14ac:dyDescent="0.25">
      <c r="B119" s="2" t="s">
        <v>20</v>
      </c>
      <c r="C119">
        <v>2839222</v>
      </c>
    </row>
    <row r="120" spans="1:9" x14ac:dyDescent="0.25">
      <c r="B120" s="2" t="s">
        <v>13</v>
      </c>
      <c r="C120">
        <v>4103350</v>
      </c>
    </row>
    <row r="121" spans="1:9" x14ac:dyDescent="0.25">
      <c r="B121" s="2" t="s">
        <v>17</v>
      </c>
      <c r="C121">
        <v>3812457</v>
      </c>
    </row>
    <row r="122" spans="1:9" x14ac:dyDescent="0.25">
      <c r="B122" s="2" t="s">
        <v>9</v>
      </c>
      <c r="C122">
        <v>5669794</v>
      </c>
    </row>
    <row r="123" spans="1:9" x14ac:dyDescent="0.25">
      <c r="B123" s="2" t="s">
        <v>24</v>
      </c>
      <c r="C123">
        <v>5232187</v>
      </c>
    </row>
    <row r="124" spans="1:9" x14ac:dyDescent="0.25">
      <c r="B124" s="2" t="s">
        <v>27</v>
      </c>
      <c r="C124">
        <v>6370590</v>
      </c>
    </row>
    <row r="125" spans="1:9" x14ac:dyDescent="0.25">
      <c r="B125" s="2" t="s">
        <v>31</v>
      </c>
      <c r="C125">
        <v>7267738</v>
      </c>
    </row>
    <row r="126" spans="1:9" x14ac:dyDescent="0.25">
      <c r="B126" s="2" t="s">
        <v>143</v>
      </c>
      <c r="C126">
        <v>35295338</v>
      </c>
    </row>
    <row r="131" spans="2:3" x14ac:dyDescent="0.25">
      <c r="B131" s="8" t="s">
        <v>142</v>
      </c>
      <c r="C131" s="9" t="s">
        <v>144</v>
      </c>
    </row>
    <row r="132" spans="2:3" x14ac:dyDescent="0.25">
      <c r="B132" s="2" t="s">
        <v>38</v>
      </c>
      <c r="C132">
        <v>2981638</v>
      </c>
    </row>
    <row r="133" spans="2:3" x14ac:dyDescent="0.25">
      <c r="B133" s="2" t="s">
        <v>32</v>
      </c>
      <c r="C133">
        <v>3359398</v>
      </c>
    </row>
    <row r="134" spans="2:3" x14ac:dyDescent="0.25">
      <c r="B134" s="2" t="s">
        <v>35</v>
      </c>
      <c r="C134">
        <v>6231531</v>
      </c>
    </row>
    <row r="135" spans="2:3" x14ac:dyDescent="0.25">
      <c r="B135" s="2" t="s">
        <v>21</v>
      </c>
      <c r="C135">
        <v>3560630</v>
      </c>
    </row>
    <row r="136" spans="2:3" x14ac:dyDescent="0.25">
      <c r="B136" s="2" t="s">
        <v>10</v>
      </c>
      <c r="C136">
        <v>3614655</v>
      </c>
    </row>
    <row r="137" spans="2:3" x14ac:dyDescent="0.25">
      <c r="B137" s="2" t="s">
        <v>28</v>
      </c>
      <c r="C137">
        <v>6201288</v>
      </c>
    </row>
    <row r="138" spans="2:3" x14ac:dyDescent="0.25">
      <c r="B138" s="2" t="s">
        <v>14</v>
      </c>
      <c r="C138">
        <v>9346198</v>
      </c>
    </row>
    <row r="139" spans="2:3" x14ac:dyDescent="0.25">
      <c r="B139" s="2" t="s">
        <v>143</v>
      </c>
      <c r="C139">
        <v>35295338</v>
      </c>
    </row>
    <row r="168" spans="2:3" x14ac:dyDescent="0.25">
      <c r="B168" s="6" t="s">
        <v>142</v>
      </c>
      <c r="C168" s="7" t="s">
        <v>144</v>
      </c>
    </row>
    <row r="169" spans="2:3" x14ac:dyDescent="0.25">
      <c r="B169" s="2" t="s">
        <v>20</v>
      </c>
      <c r="C169">
        <v>2839222</v>
      </c>
    </row>
    <row r="170" spans="2:3" x14ac:dyDescent="0.25">
      <c r="B170" s="5" t="s">
        <v>13</v>
      </c>
      <c r="C170">
        <v>4103350</v>
      </c>
    </row>
    <row r="171" spans="2:3" x14ac:dyDescent="0.25">
      <c r="B171" s="2" t="s">
        <v>17</v>
      </c>
      <c r="C171">
        <v>3812457</v>
      </c>
    </row>
    <row r="172" spans="2:3" x14ac:dyDescent="0.25">
      <c r="B172" s="2" t="s">
        <v>9</v>
      </c>
      <c r="C172">
        <v>5669794</v>
      </c>
    </row>
    <row r="173" spans="2:3" x14ac:dyDescent="0.25">
      <c r="B173" s="2" t="s">
        <v>24</v>
      </c>
      <c r="C173">
        <v>5232187</v>
      </c>
    </row>
    <row r="174" spans="2:3" x14ac:dyDescent="0.25">
      <c r="B174" s="2" t="s">
        <v>27</v>
      </c>
      <c r="C174">
        <v>6370590</v>
      </c>
    </row>
    <row r="175" spans="2:3" x14ac:dyDescent="0.25">
      <c r="B175" s="2" t="s">
        <v>31</v>
      </c>
      <c r="C175">
        <v>7267738</v>
      </c>
    </row>
    <row r="176" spans="2:3" x14ac:dyDescent="0.25">
      <c r="B176" s="2" t="s">
        <v>143</v>
      </c>
      <c r="C176">
        <v>35295338</v>
      </c>
    </row>
    <row r="216" spans="2:2" x14ac:dyDescent="0.25">
      <c r="B216" s="12" t="s">
        <v>151</v>
      </c>
    </row>
  </sheetData>
  <phoneticPr fontId="2" type="noConversion"/>
  <hyperlinks>
    <hyperlink ref="B216" r:id="rId4" xr:uid="{6E53CEFA-9856-4804-A332-77DC53ADD3D3}"/>
  </hyperlinks>
  <pageMargins left="0.7" right="0.7" top="0.75" bottom="0.75" header="0.3" footer="0.3"/>
  <ignoredErrors>
    <ignoredError sqref="H114" calculatedColumn="1"/>
  </ignoredErrors>
  <drawing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AE9618-84AA-45F8-8D27-A649885DF6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Week-2-Sales-Data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Morudu</dc:creator>
  <cp:lastModifiedBy>Betty Morudu</cp:lastModifiedBy>
  <dcterms:created xsi:type="dcterms:W3CDTF">2026-02-16T10:23:22Z</dcterms:created>
  <dcterms:modified xsi:type="dcterms:W3CDTF">2026-02-19T06:32:29Z</dcterms:modified>
</cp:coreProperties>
</file>